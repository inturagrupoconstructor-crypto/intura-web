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>
    <definedName name="_xlnm.Print_Titles" localSheetId="0">'Cotización'!$19:$19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;-&quot;$&quot;#,##0;&quot;–&quot;"/>
  </numFmts>
  <fonts count="17">
    <font>
      <name val="Calibri"/>
      <family val="2"/>
      <color theme="1"/>
      <sz val="11"/>
      <scheme val="minor"/>
    </font>
    <font>
      <name val="Calibri"/>
      <b val="1"/>
      <color rgb="008A7A63"/>
      <sz val="8.5"/>
    </font>
    <font>
      <name val="Calibri"/>
      <b val="1"/>
      <color rgb="00111214"/>
      <sz val="18"/>
    </font>
    <font>
      <name val="Calibri"/>
      <b val="1"/>
      <color rgb="008A7A63"/>
      <sz val="9.5"/>
    </font>
    <font>
      <name val="Calibri"/>
      <color rgb="006E7075"/>
      <sz val="9.5"/>
    </font>
    <font>
      <name val="Calibri"/>
      <color rgb="000000FF"/>
      <sz val="10"/>
    </font>
    <font>
      <name val="Calibri"/>
      <b val="1"/>
      <color rgb="006E7075"/>
      <sz val="8"/>
    </font>
    <font>
      <name val="Calibri"/>
      <b val="1"/>
      <color rgb="008A7A63"/>
      <sz val="13"/>
    </font>
    <font>
      <name val="Calibri"/>
      <b val="1"/>
      <color rgb="00111214"/>
      <sz val="10.5"/>
    </font>
    <font>
      <name val="Calibri"/>
      <color rgb="00111214"/>
      <sz val="9.5"/>
    </font>
    <font>
      <name val="Calibri"/>
      <b val="1"/>
      <color rgb="00111214"/>
      <sz val="10"/>
    </font>
    <font>
      <name val="Calibri"/>
      <color rgb="00111214"/>
      <sz val="10"/>
    </font>
    <font>
      <name val="Calibri"/>
      <b val="1"/>
      <color rgb="00FFFFFF"/>
      <sz val="10.5"/>
    </font>
    <font>
      <name val="Calibri"/>
      <b val="1"/>
      <color rgb="00FFFFFF"/>
      <sz val="12"/>
    </font>
    <font>
      <name val="Calibri"/>
      <color rgb="006E7075"/>
      <sz val="10"/>
    </font>
    <font>
      <name val="Calibri"/>
      <b val="1"/>
      <color rgb="00111214"/>
      <sz val="9.5"/>
    </font>
    <font>
      <name val="Calibri"/>
      <i val="1"/>
      <color rgb="006E7075"/>
      <sz val="8.5"/>
    </font>
  </fonts>
  <fills count="6">
    <fill>
      <patternFill/>
    </fill>
    <fill>
      <patternFill patternType="gray125"/>
    </fill>
    <fill>
      <patternFill patternType="solid">
        <fgColor rgb="00A39885"/>
      </patternFill>
    </fill>
    <fill>
      <patternFill patternType="solid">
        <fgColor rgb="00EEF2FA"/>
      </patternFill>
    </fill>
    <fill>
      <patternFill patternType="solid">
        <fgColor rgb="00F2EEE7"/>
      </patternFill>
    </fill>
    <fill>
      <patternFill patternType="solid">
        <fgColor rgb="00111214"/>
      </patternFill>
    </fill>
  </fills>
  <borders count="25">
    <border>
      <left/>
      <right/>
      <top/>
      <bottom/>
      <diagonal/>
    </border>
    <border>
      <left style="medium">
        <color rgb="00111214"/>
      </left>
      <top style="medium">
        <color rgb="00111214"/>
      </top>
    </border>
    <border>
      <top style="medium">
        <color rgb="00111214"/>
      </top>
    </border>
    <border>
      <left style="thin">
        <color rgb="00111214"/>
      </left>
      <top style="medium">
        <color rgb="00111214"/>
      </top>
    </border>
    <border>
      <right style="medium">
        <color rgb="00111214"/>
      </right>
      <top style="medium">
        <color rgb="00111214"/>
      </top>
    </border>
    <border>
      <left style="medium">
        <color rgb="00111214"/>
      </left>
    </border>
    <border/>
    <border>
      <left style="thin">
        <color rgb="00111214"/>
      </left>
    </border>
    <border>
      <right style="medium">
        <color rgb="00111214"/>
      </right>
    </border>
    <border>
      <left style="medium">
        <color rgb="00111214"/>
      </left>
      <bottom style="thin">
        <color rgb="00DADBDE"/>
      </bottom>
    </border>
    <border>
      <bottom style="thin">
        <color rgb="00DADBDE"/>
      </bottom>
    </border>
    <border>
      <left style="medium">
        <color rgb="00111214"/>
      </left>
      <bottom style="medium">
        <color rgb="00111214"/>
      </bottom>
    </border>
    <border>
      <bottom style="medium">
        <color rgb="00111214"/>
      </bottom>
    </border>
    <border>
      <left style="thin">
        <color rgb="00111214"/>
      </left>
      <bottom style="medium">
        <color rgb="00111214"/>
      </bottom>
    </border>
    <border>
      <right style="medium">
        <color rgb="00111214"/>
      </right>
      <bottom style="medium">
        <color rgb="00111214"/>
      </bottom>
    </border>
    <border>
      <left style="thin">
        <color rgb="00111214"/>
      </left>
      <right style="medium">
        <color rgb="00111214"/>
      </right>
      <top style="medium">
        <color rgb="00111214"/>
      </top>
      <bottom style="medium">
        <color rgb="00111214"/>
      </bottom>
    </border>
    <border>
      <left/>
      <right/>
      <top style="medium">
        <color rgb="00111214"/>
      </top>
      <bottom/>
      <diagonal/>
    </border>
    <border>
      <left style="thin">
        <color rgb="00111214"/>
      </left>
      <right/>
      <top/>
      <bottom/>
      <diagonal/>
    </border>
    <border>
      <left/>
      <right style="medium">
        <color rgb="00111214"/>
      </right>
      <top style="medium">
        <color rgb="00111214"/>
      </top>
      <bottom/>
      <diagonal/>
    </border>
    <border>
      <left/>
      <right style="medium">
        <color rgb="00111214"/>
      </right>
      <top/>
      <bottom/>
      <diagonal/>
    </border>
    <border>
      <left style="thin">
        <color rgb="00111214"/>
      </left>
      <right/>
      <top/>
      <bottom style="medium">
        <color rgb="00111214"/>
      </bottom>
      <diagonal/>
    </border>
    <border>
      <left/>
      <right style="medium">
        <color rgb="00111214"/>
      </right>
      <top/>
      <bottom style="medium">
        <color rgb="00111214"/>
      </bottom>
      <diagonal/>
    </border>
    <border>
      <left/>
      <right/>
      <top/>
      <bottom style="thin">
        <color rgb="00DADBDE"/>
      </bottom>
      <diagonal/>
    </border>
    <border>
      <left/>
      <right/>
      <top/>
      <bottom style="medium">
        <color rgb="00111214"/>
      </bottom>
      <diagonal/>
    </border>
    <border>
      <top style="thin">
        <color rgb="00111214"/>
      </top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0" fontId="0" fillId="0" borderId="16" pivotButton="0" quotePrefix="0" xfId="0"/>
    <xf numFmtId="0" fontId="0" fillId="0" borderId="15" pivotButton="0" quotePrefix="0" xfId="0"/>
    <xf numFmtId="0" fontId="0" fillId="0" borderId="18" pivotButton="0" quotePrefix="0" xfId="0"/>
    <xf numFmtId="0" fontId="2" fillId="0" borderId="5" applyAlignment="1" pivotButton="0" quotePrefix="0" xfId="0">
      <alignment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9" applyAlignment="1" pivotButton="0" quotePrefix="0" xfId="0">
      <alignment vertical="center"/>
    </xf>
    <xf numFmtId="0" fontId="0" fillId="0" borderId="22" pivotButton="0" quotePrefix="0" xfId="0"/>
    <xf numFmtId="0" fontId="0" fillId="0" borderId="11" applyAlignment="1" pivotButton="0" quotePrefix="0" xfId="0">
      <alignment vertical="center"/>
    </xf>
    <xf numFmtId="0" fontId="0" fillId="0" borderId="23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2" borderId="0" pivotButton="0" quotePrefix="0" xfId="0"/>
    <xf numFmtId="0" fontId="3" fillId="0" borderId="12" pivotButton="0" quotePrefix="0" xfId="0"/>
    <xf numFmtId="0" fontId="0" fillId="0" borderId="12" pivotButton="0" quotePrefix="0" xfId="0"/>
    <xf numFmtId="0" fontId="4" fillId="0" borderId="0" applyAlignment="1" pivotButton="0" quotePrefix="0" xfId="0">
      <alignment vertical="center"/>
    </xf>
    <xf numFmtId="0" fontId="5" fillId="3" borderId="10" pivotButton="0" quotePrefix="0" xfId="0"/>
    <xf numFmtId="0" fontId="6" fillId="0" borderId="12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right" vertical="center" wrapText="1"/>
    </xf>
    <xf numFmtId="0" fontId="7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4" fontId="8" fillId="4" borderId="0" applyAlignment="1" pivotButton="0" quotePrefix="0" xfId="0">
      <alignment horizontal="right" vertical="center"/>
    </xf>
    <xf numFmtId="0" fontId="4" fillId="0" borderId="10" applyAlignment="1" pivotButton="0" quotePrefix="0" xfId="0">
      <alignment horizontal="left" vertical="center"/>
    </xf>
    <xf numFmtId="0" fontId="9" fillId="0" borderId="10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center" vertical="center"/>
    </xf>
    <xf numFmtId="4" fontId="9" fillId="0" borderId="10" applyAlignment="1" pivotButton="0" quotePrefix="0" xfId="0">
      <alignment horizontal="right" vertical="center"/>
    </xf>
    <xf numFmtId="164" fontId="5" fillId="3" borderId="10" applyAlignment="1" pivotButton="0" quotePrefix="0" xfId="0">
      <alignment horizontal="right" vertical="center"/>
    </xf>
    <xf numFmtId="164" fontId="9" fillId="0" borderId="10" applyAlignment="1" pivotButton="0" quotePrefix="0" xfId="0">
      <alignment horizontal="right" vertical="center"/>
    </xf>
    <xf numFmtId="0" fontId="0" fillId="0" borderId="10" pivotButton="0" quotePrefix="0" xfId="0"/>
    <xf numFmtId="0" fontId="10" fillId="0" borderId="10" applyAlignment="1" pivotButton="0" quotePrefix="0" xfId="0">
      <alignment vertical="center"/>
    </xf>
    <xf numFmtId="164" fontId="10" fillId="0" borderId="10" applyAlignment="1" pivotButton="0" quotePrefix="0" xfId="0">
      <alignment horizontal="right" vertical="center"/>
    </xf>
    <xf numFmtId="0" fontId="11" fillId="0" borderId="10" applyAlignment="1" pivotButton="0" quotePrefix="0" xfId="0">
      <alignment vertical="center"/>
    </xf>
    <xf numFmtId="9" fontId="5" fillId="3" borderId="10" applyAlignment="1" pivotButton="0" quotePrefix="0" xfId="0">
      <alignment horizontal="right"/>
    </xf>
    <xf numFmtId="164" fontId="11" fillId="0" borderId="10" applyAlignment="1" pivotButton="0" quotePrefix="0" xfId="0">
      <alignment horizontal="right" vertical="center"/>
    </xf>
    <xf numFmtId="0" fontId="0" fillId="5" borderId="0" pivotButton="0" quotePrefix="0" xfId="0"/>
    <xf numFmtId="0" fontId="12" fillId="5" borderId="0" applyAlignment="1" pivotButton="0" quotePrefix="0" xfId="0">
      <alignment vertical="center"/>
    </xf>
    <xf numFmtId="164" fontId="13" fillId="5" borderId="0" applyAlignment="1" pivotButton="0" quotePrefix="0" xfId="0">
      <alignment horizontal="right" vertical="center"/>
    </xf>
    <xf numFmtId="0" fontId="14" fillId="0" borderId="10" applyAlignment="1" pivotButton="0" quotePrefix="0" xfId="0">
      <alignment vertical="center"/>
    </xf>
    <xf numFmtId="0" fontId="3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vertical="top" wrapText="1"/>
    </xf>
    <xf numFmtId="0" fontId="15" fillId="0" borderId="24" pivotButton="0" quotePrefix="0" xfId="0"/>
    <xf numFmtId="0" fontId="0" fillId="0" borderId="24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569958</colOff>
      <row>1</row>
      <rowOff>231775</rowOff>
    </from>
    <ext cx="1219200" cy="704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53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8" customWidth="1" min="2" max="2"/>
    <col width="60" customWidth="1" min="3" max="3"/>
    <col width="7" customWidth="1" min="4" max="4"/>
    <col width="11" customWidth="1" min="5" max="5"/>
    <col width="16" customWidth="1" min="6" max="6"/>
    <col width="18" customWidth="1" min="7" max="7"/>
    <col width="2.5" customWidth="1" min="8" max="8"/>
  </cols>
  <sheetData>
    <row r="1" ht="12" customHeight="1"/>
    <row r="2" ht="20" customHeight="1">
      <c r="B2" s="1" t="inlineStr">
        <is>
          <t xml:space="preserve">  SOLICITUD DE COTIZACIÓN A CONTRATISTAS  ·  CUBIERTA</t>
        </is>
      </c>
      <c r="C2" s="2" t="n"/>
      <c r="D2" s="2" t="n"/>
      <c r="E2" s="2" t="n"/>
      <c r="F2" s="3" t="n"/>
      <c r="G2" s="4" t="n"/>
    </row>
    <row r="3" ht="34" customHeight="1">
      <c r="B3" s="5" t="inlineStr">
        <is>
          <t xml:space="preserve">  Cumbres de Monserrate · Casa 4</t>
        </is>
      </c>
      <c r="F3" s="6" t="n"/>
      <c r="G3" s="7" t="n"/>
    </row>
    <row r="4" ht="19" customHeight="1">
      <c r="B4" s="8" t="inlineStr">
        <is>
          <r>
            <rPr>
              <rFont val="Calibri"/>
              <b val="1"/>
              <color rgb="006E7075"/>
              <sz val="8"/>
            </rPr>
            <t xml:space="preserve">  CONTRATANTE  </t>
          </r>
          <r>
            <rPr>
              <rFont val="Calibri"/>
              <color rgb="00111214"/>
              <sz val="10"/>
            </rPr>
            <t>Intura Grupo Constructor SAS</t>
          </r>
          <r>
            <rPr>
              <rFont val="Calibri"/>
              <b val="1"/>
              <color rgb="006E7075"/>
              <sz val="8"/>
            </rPr>
            <t xml:space="preserve">      OBRA  </t>
          </r>
          <r>
            <rPr>
              <rFont val="Calibri"/>
              <color rgb="00111214"/>
              <sz val="10"/>
            </rPr>
            <t>Santa Rosa de Cabal, Risaralda</t>
          </r>
        </is>
      </c>
      <c r="C4" s="9" t="n"/>
      <c r="D4" s="9" t="n"/>
      <c r="E4" s="9" t="n"/>
      <c r="F4" s="6" t="n"/>
      <c r="G4" s="7" t="n"/>
    </row>
    <row r="5" ht="19" customHeight="1">
      <c r="B5" s="10" t="inlineStr">
        <is>
          <r>
            <rPr>
              <rFont val="Calibri"/>
              <b val="1"/>
              <color rgb="006E7075"/>
              <sz val="8"/>
            </rPr>
            <t xml:space="preserve">  VERSIÓN  </t>
          </r>
          <r>
            <rPr>
              <rFont val="Calibri"/>
              <color rgb="00111214"/>
              <sz val="10"/>
            </rPr>
            <t>1</t>
          </r>
          <r>
            <rPr>
              <rFont val="Calibri"/>
              <b val="1"/>
              <color rgb="006E7075"/>
              <sz val="8"/>
            </rPr>
            <t xml:space="preserve">      FECHA  </t>
          </r>
          <r>
            <rPr>
              <rFont val="Calibri"/>
              <color rgb="00111214"/>
              <sz val="10"/>
            </rPr>
            <t>29 oct 2026</t>
          </r>
          <r>
            <rPr>
              <rFont val="Calibri"/>
              <b val="1"/>
              <color rgb="006E7075"/>
              <sz val="8"/>
            </rPr>
            <t xml:space="preserve">      HOJA  </t>
          </r>
          <r>
            <rPr>
              <rFont val="Calibri"/>
              <color rgb="00111214"/>
              <sz val="10"/>
            </rPr>
            <t>Cotización</t>
          </r>
        </is>
      </c>
      <c r="C5" s="11" t="n"/>
      <c r="D5" s="11" t="n"/>
      <c r="E5" s="11" t="n"/>
      <c r="F5" s="12" t="n"/>
      <c r="G5" s="13" t="n"/>
    </row>
    <row r="6" ht="5" customHeight="1">
      <c r="B6" s="14" t="n"/>
    </row>
    <row r="7" ht="8" customHeight="1"/>
    <row r="9" ht="22" customHeight="1">
      <c r="B9" s="15" t="inlineStr">
        <is>
          <t>DATOS DEL CONTRATISTA</t>
        </is>
      </c>
      <c r="C9" s="16" t="n"/>
      <c r="D9" s="16" t="n"/>
      <c r="E9" s="16" t="n"/>
      <c r="F9" s="16" t="n"/>
      <c r="G9" s="16" t="n"/>
    </row>
    <row r="10" ht="20" customHeight="1">
      <c r="B10" s="17" t="inlineStr">
        <is>
          <t>Nombre o razón social</t>
        </is>
      </c>
      <c r="D10" s="18" t="n"/>
      <c r="E10" s="18" t="n"/>
      <c r="F10" s="18" t="n"/>
      <c r="G10" s="18" t="n"/>
    </row>
    <row r="11" ht="20" customHeight="1">
      <c r="B11" s="17" t="inlineStr">
        <is>
          <t>NIT o cédula</t>
        </is>
      </c>
      <c r="D11" s="18" t="n"/>
      <c r="E11" s="18" t="n"/>
      <c r="F11" s="18" t="n"/>
      <c r="G11" s="18" t="n"/>
    </row>
    <row r="12" ht="20" customHeight="1">
      <c r="B12" s="17" t="inlineStr">
        <is>
          <t>Teléfono</t>
        </is>
      </c>
      <c r="D12" s="18" t="n"/>
      <c r="E12" s="18" t="n"/>
      <c r="F12" s="18" t="n"/>
      <c r="G12" s="18" t="n"/>
    </row>
    <row r="13" ht="20" customHeight="1">
      <c r="B13" s="17" t="inlineStr">
        <is>
          <t>Correo electrónico</t>
        </is>
      </c>
      <c r="D13" s="18" t="n"/>
      <c r="E13" s="18" t="n"/>
      <c r="F13" s="18" t="n"/>
      <c r="G13" s="18" t="n"/>
    </row>
    <row r="14" ht="20" customHeight="1">
      <c r="B14" s="17" t="inlineStr">
        <is>
          <t>Plazo de ejecución ofrecido</t>
        </is>
      </c>
      <c r="D14" s="18" t="n"/>
      <c r="E14" s="18" t="n"/>
      <c r="F14" s="18" t="n"/>
      <c r="G14" s="18" t="n"/>
    </row>
    <row r="15" ht="20" customHeight="1">
      <c r="B15" s="17" t="inlineStr">
        <is>
          <t>Validez de la oferta</t>
        </is>
      </c>
      <c r="D15" s="18" t="n"/>
      <c r="E15" s="18" t="n"/>
      <c r="F15" s="18" t="n"/>
      <c r="G15" s="18" t="n"/>
    </row>
    <row r="16" ht="20" customHeight="1">
      <c r="B16" s="17" t="inlineStr">
        <is>
          <t>Forma de pago propuesta</t>
        </is>
      </c>
      <c r="D16" s="18" t="n"/>
      <c r="E16" s="18" t="n"/>
      <c r="F16" s="18" t="n"/>
      <c r="G16" s="18" t="n"/>
    </row>
    <row r="18" ht="22" customHeight="1">
      <c r="B18" s="15" t="inlineStr">
        <is>
          <t>ACTIVIDADES A COTIZAR  ·  PRECIOS UNITARIOS A TODO COSTO</t>
        </is>
      </c>
      <c r="C18" s="16" t="n"/>
      <c r="D18" s="16" t="n"/>
      <c r="E18" s="16" t="n"/>
      <c r="F18" s="16" t="n"/>
      <c r="G18" s="16" t="n"/>
    </row>
    <row r="19" ht="24" customHeight="1">
      <c r="B19" s="19" t="inlineStr">
        <is>
          <t>ÍTEM</t>
        </is>
      </c>
      <c r="C19" s="19" t="inlineStr">
        <is>
          <t>DESCRIPCIÓN</t>
        </is>
      </c>
      <c r="D19" s="20" t="inlineStr">
        <is>
          <t>UND</t>
        </is>
      </c>
      <c r="E19" s="21" t="inlineStr">
        <is>
          <t>CANTIDAD</t>
        </is>
      </c>
      <c r="F19" s="21" t="inlineStr">
        <is>
          <t>VALOR UNITARIO</t>
        </is>
      </c>
      <c r="G19" s="21" t="inlineStr">
        <is>
          <t>VALOR TOTAL</t>
        </is>
      </c>
    </row>
    <row r="20" ht="24" customHeight="1">
      <c r="B20" s="22" t="inlineStr">
        <is>
          <t>01</t>
        </is>
      </c>
      <c r="C20" s="23" t="inlineStr">
        <is>
          <t>SEGURIDAD EN ALTURAS</t>
        </is>
      </c>
      <c r="D20" s="24" t="n"/>
      <c r="E20" s="24" t="n"/>
      <c r="F20" s="24" t="n"/>
      <c r="G20" s="25">
        <f>SUM(G21:G21)</f>
        <v/>
      </c>
    </row>
    <row r="21" ht="42" customHeight="1">
      <c r="B21" s="26" t="inlineStr">
        <is>
          <t>1.01</t>
        </is>
      </c>
      <c r="C21" s="27" t="inlineStr">
        <is>
          <t>Coordinador de trabajo en alturas durante toda la ejecución de la obra (3 semanas), con certificación, curso y seguridad social al día (Res. 4272 de 2021)</t>
        </is>
      </c>
      <c r="D21" s="28" t="inlineStr">
        <is>
          <t>glb</t>
        </is>
      </c>
      <c r="E21" s="29" t="n">
        <v>1</v>
      </c>
      <c r="F21" s="30" t="n"/>
      <c r="G21" s="31">
        <f>ROUND(E21*F21,0)</f>
        <v/>
      </c>
    </row>
    <row r="22" ht="24" customHeight="1">
      <c r="B22" s="22" t="inlineStr">
        <is>
          <t>02</t>
        </is>
      </c>
      <c r="C22" s="23" t="inlineStr">
        <is>
          <t>ESTRUCTURA METÁLICA DE CUBIERTA</t>
        </is>
      </c>
      <c r="D22" s="24" t="n"/>
      <c r="E22" s="24" t="n"/>
      <c r="F22" s="24" t="n"/>
      <c r="G22" s="25">
        <f>SUM(G23:G23)</f>
        <v/>
      </c>
    </row>
    <row r="23" ht="56" customHeight="1">
      <c r="B23" s="26" t="inlineStr">
        <is>
          <t>2.01</t>
        </is>
      </c>
      <c r="C23" s="27" t="inlineStr">
        <is>
          <t>Estructura metálica de cubierta en perlín C 150×60×2,0 mm (P-6-14) acero grado 50, incluye conexiones correa–muro (ángulo 2"×2"×1/8" + 2 pernos 3/8" A325 con anclaje químico), platinas de anclaje a muros, templetes en varilla roscada 3/8", soldadura E60, anticorrosivo y esmalte</t>
        </is>
      </c>
      <c r="D23" s="28" t="inlineStr">
        <is>
          <t>kg</t>
        </is>
      </c>
      <c r="E23" s="29" t="n">
        <v>469.94</v>
      </c>
      <c r="F23" s="30" t="n"/>
      <c r="G23" s="31">
        <f>ROUND(E23*F23,0)</f>
        <v/>
      </c>
    </row>
    <row r="24" ht="24" customHeight="1">
      <c r="B24" s="22" t="inlineStr">
        <is>
          <t>03</t>
        </is>
      </c>
      <c r="C24" s="23" t="inlineStr">
        <is>
          <t>CUBIERTA EN TEJA</t>
        </is>
      </c>
      <c r="D24" s="24" t="n"/>
      <c r="E24" s="24" t="n"/>
      <c r="F24" s="24" t="n"/>
      <c r="G24" s="25">
        <f>SUM(G25:G26)</f>
        <v/>
      </c>
    </row>
    <row r="25" ht="30" customHeight="1">
      <c r="B25" s="26" t="inlineStr">
        <is>
          <t>3.01</t>
        </is>
      </c>
      <c r="C25" s="27" t="inlineStr">
        <is>
          <t>Teja UPVC Ecoroof 36, 2 mm, blanca (0,92×5,90 m), suministro e instalación con fijaciones, incluye traslapos y cortes</t>
        </is>
      </c>
      <c r="D25" s="28" t="inlineStr">
        <is>
          <t>m²</t>
        </is>
      </c>
      <c r="E25" s="29" t="n">
        <v>56.37</v>
      </c>
      <c r="F25" s="30" t="n"/>
      <c r="G25" s="31">
        <f>ROUND(E25*F25,0)</f>
        <v/>
      </c>
    </row>
    <row r="26" ht="30" customHeight="1">
      <c r="B26" s="26" t="inlineStr">
        <is>
          <t>3.02</t>
        </is>
      </c>
      <c r="C26" s="27" t="inlineStr">
        <is>
          <t>Teja traslúcida del mismo perfil, suministro e instalación (3 piezas, 1,30 m²)</t>
        </is>
      </c>
      <c r="D26" s="28" t="inlineStr">
        <is>
          <t>glb</t>
        </is>
      </c>
      <c r="E26" s="29" t="n">
        <v>1</v>
      </c>
      <c r="F26" s="30" t="n"/>
      <c r="G26" s="31">
        <f>ROUND(E26*F26,0)</f>
        <v/>
      </c>
    </row>
    <row r="27" ht="24" customHeight="1">
      <c r="B27" s="22" t="inlineStr">
        <is>
          <t>04</t>
        </is>
      </c>
      <c r="C27" s="23" t="inlineStr">
        <is>
          <t>CANALES, FLANCHES Y ALFAJÍAS</t>
        </is>
      </c>
      <c r="D27" s="24" t="n"/>
      <c r="E27" s="24" t="n"/>
      <c r="F27" s="24" t="n"/>
      <c r="G27" s="25">
        <f>SUM(G28:G31)</f>
        <v/>
      </c>
    </row>
    <row r="28" ht="30" customHeight="1">
      <c r="B28" s="26" t="inlineStr">
        <is>
          <t>4.01</t>
        </is>
      </c>
      <c r="C28" s="27" t="inlineStr">
        <is>
          <t>Canal en lámina galvanizada cal. 20, desarrollo 1,00 m (0,30 × 0,20 + aletas), soportes, sello y anticorrosivo interior</t>
        </is>
      </c>
      <c r="D28" s="28" t="inlineStr">
        <is>
          <t>ml</t>
        </is>
      </c>
      <c r="E28" s="29" t="n">
        <v>6.6</v>
      </c>
      <c r="F28" s="30" t="n"/>
      <c r="G28" s="31">
        <f>ROUND(E28*F28,0)</f>
        <v/>
      </c>
    </row>
    <row r="29" ht="42" customHeight="1">
      <c r="B29" s="26" t="inlineStr">
        <is>
          <t>4.02</t>
        </is>
      </c>
      <c r="C29" s="27" t="inlineStr">
        <is>
          <t>Canal en lámina galvanizada cal. 20, desarrollo 0,80 m (cubiertas de balcón y patio de ropas), soportes, sello y anticorrosivo interior</t>
        </is>
      </c>
      <c r="D29" s="28" t="inlineStr">
        <is>
          <t>ml</t>
        </is>
      </c>
      <c r="E29" s="29" t="n">
        <v>4.1</v>
      </c>
      <c r="F29" s="30" t="n"/>
      <c r="G29" s="31">
        <f>ROUND(E29*F29,0)</f>
        <v/>
      </c>
    </row>
    <row r="30" ht="30" customHeight="1">
      <c r="B30" s="26" t="inlineStr">
        <is>
          <t>4.03</t>
        </is>
      </c>
      <c r="C30" s="27" t="inlineStr">
        <is>
          <t>Flanche teja–muro en lámina galvanizada cal. 26, desarrollo 0,40 m, fijado con chazos y sellado con poliuretano</t>
        </is>
      </c>
      <c r="D30" s="28" t="inlineStr">
        <is>
          <t>ml</t>
        </is>
      </c>
      <c r="E30" s="29" t="n">
        <v>44.23</v>
      </c>
      <c r="F30" s="30" t="n"/>
      <c r="G30" s="31">
        <f>ROUND(E30*F30,0)</f>
        <v/>
      </c>
    </row>
    <row r="31" ht="30" customHeight="1">
      <c r="B31" s="26" t="inlineStr">
        <is>
          <t>4.04</t>
        </is>
      </c>
      <c r="C31" s="27" t="inlineStr">
        <is>
          <t>Alfajía en lámina galvanizada prepintada negra cal. 24, desarrollo 0,68 m con goteros, sobre muro de cuchilla</t>
        </is>
      </c>
      <c r="D31" s="28" t="inlineStr">
        <is>
          <t>ml</t>
        </is>
      </c>
      <c r="E31" s="29" t="n">
        <v>42.14</v>
      </c>
      <c r="F31" s="30" t="n"/>
      <c r="G31" s="31">
        <f>ROUND(E31*F31,0)</f>
        <v/>
      </c>
    </row>
    <row r="33" ht="20" customHeight="1">
      <c r="B33" s="32" t="n"/>
      <c r="C33" s="33" t="inlineStr">
        <is>
          <t>SUBTOTAL</t>
        </is>
      </c>
      <c r="D33" s="32" t="n"/>
      <c r="E33" s="32" t="n"/>
      <c r="F33" s="32" t="n"/>
      <c r="G33" s="34">
        <f>G20+G22+G24+G27</f>
        <v/>
      </c>
    </row>
    <row r="34" ht="20" customHeight="1">
      <c r="B34" s="32" t="n"/>
      <c r="C34" s="35" t="inlineStr">
        <is>
          <t>IVA (si aplica)</t>
        </is>
      </c>
      <c r="D34" s="32" t="n"/>
      <c r="E34" s="32" t="n"/>
      <c r="F34" s="36" t="n">
        <v>0</v>
      </c>
      <c r="G34" s="37">
        <f>ROUND(G33*F34,0)</f>
        <v/>
      </c>
    </row>
    <row r="35" ht="26" customHeight="1">
      <c r="B35" s="38" t="n"/>
      <c r="C35" s="39" t="inlineStr">
        <is>
          <t>VALOR TOTAL DE LA OFERTA</t>
        </is>
      </c>
      <c r="D35" s="38" t="n"/>
      <c r="E35" s="38" t="n"/>
      <c r="F35" s="38" t="n"/>
      <c r="G35" s="40">
        <f>G33+G34</f>
        <v/>
      </c>
    </row>
    <row r="36" ht="20" customHeight="1">
      <c r="B36" s="32" t="n"/>
      <c r="C36" s="41" t="inlineStr">
        <is>
          <t>Retención de garantía del 10 % (se paga al final, ver condiciones)</t>
        </is>
      </c>
      <c r="D36" s="32" t="n"/>
      <c r="E36" s="32" t="n"/>
      <c r="F36" s="32" t="n"/>
      <c r="G36" s="34">
        <f>ROUND(G35*0.10,0)</f>
        <v/>
      </c>
    </row>
    <row r="37" ht="20" customHeight="1">
      <c r="B37" s="32" t="n"/>
      <c r="C37" s="41" t="inlineStr">
        <is>
          <t>Valor a pagar en los pagos parciales (90 %)</t>
        </is>
      </c>
      <c r="D37" s="32" t="n"/>
      <c r="E37" s="32" t="n"/>
      <c r="F37" s="32" t="n"/>
      <c r="G37" s="34">
        <f>G35-G36</f>
        <v/>
      </c>
    </row>
    <row r="39" ht="22" customHeight="1">
      <c r="B39" s="15" t="inlineStr">
        <is>
          <t>CONDICIONES PARA COTIZAR</t>
        </is>
      </c>
      <c r="C39" s="16" t="n"/>
      <c r="D39" s="16" t="n"/>
      <c r="E39" s="16" t="n"/>
      <c r="F39" s="16" t="n"/>
      <c r="G39" s="16" t="n"/>
    </row>
    <row r="40" ht="32" customHeight="1">
      <c r="B40" s="42" t="inlineStr">
        <is>
          <t>1.</t>
        </is>
      </c>
      <c r="C40" s="43" t="inlineStr">
        <is>
          <t>Los precios unitarios son a todo costo e incluyen materiales, mano de obra, herramienta y equipo, transporte a la obra en Santa Rosa de Cabal, limpieza y retiro de sobrantes.</t>
        </is>
      </c>
    </row>
    <row r="41" ht="32" customHeight="1">
      <c r="B41" s="42" t="inlineStr">
        <is>
          <t>2.</t>
        </is>
      </c>
      <c r="C41" s="43" t="inlineStr">
        <is>
          <t>Incluyen los elementos de protección personal y la seguridad social de todo el personal (EPS, pensión y ARL), al día durante toda la obra.</t>
        </is>
      </c>
    </row>
    <row r="42" ht="32" customHeight="1">
      <c r="B42" s="42" t="inlineStr">
        <is>
          <t>3.</t>
        </is>
      </c>
      <c r="C42" s="43" t="inlineStr">
        <is>
          <t>Cada trabajador debe tener el curso o certificado de trabajo en alturas vigente. El coordinador de trabajo en alturas (ítem 1.01) debe tener su certificación, curso y seguridad social al día.</t>
        </is>
      </c>
    </row>
    <row r="43" ht="32" customHeight="1">
      <c r="B43" s="42" t="inlineStr">
        <is>
          <t>4.</t>
        </is>
      </c>
      <c r="C43" s="43" t="inlineStr">
        <is>
          <t>Incluyen las líneas de vida, puntos de anclaje, arneses, eslingas y demás elementos para trabajo en alturas.</t>
        </is>
      </c>
    </row>
    <row r="44" ht="18" customHeight="1">
      <c r="B44" s="42" t="inlineStr">
        <is>
          <t>5.</t>
        </is>
      </c>
      <c r="C44" s="43" t="inlineStr">
        <is>
          <t>Los andamios los suministra Intura Grupo Constructor SAS; no se deben incluir en los precios.</t>
        </is>
      </c>
    </row>
    <row r="45" ht="32" customHeight="1">
      <c r="B45" s="42" t="inlineStr">
        <is>
          <t>6.</t>
        </is>
      </c>
      <c r="C45" s="43" t="inlineStr">
        <is>
          <t>A cada pago se le retiene el 10 % del valor como garantía. Esta retención se paga al final, con la firma del acta de entrega y recibo a satisfacción, en un plazo máximo de uno (1) a dos (2) meses.</t>
        </is>
      </c>
    </row>
    <row r="46" ht="32" customHeight="1">
      <c r="B46" s="42" t="inlineStr">
        <is>
          <t>7.</t>
        </is>
      </c>
      <c r="C46" s="43" t="inlineStr">
        <is>
          <t>Las cantidades son de referencia y salen de los planos arquitectónico y estructural del proyecto; el contratista puede verificarlas antes de cotizar.</t>
        </is>
      </c>
    </row>
    <row r="47" ht="18" customHeight="1">
      <c r="B47" s="42" t="inlineStr">
        <is>
          <t>8.</t>
        </is>
      </c>
      <c r="C47" s="43" t="inlineStr">
        <is>
          <t>Plazo estimado de ejecución de la obra: 3 semanas.</t>
        </is>
      </c>
    </row>
    <row r="48" ht="32" customHeight="1">
      <c r="B48" s="42" t="inlineStr">
        <is>
          <t>9.</t>
        </is>
      </c>
      <c r="C48" s="43" t="inlineStr">
        <is>
          <t>Diligencie solo las celdas en azul (datos del contratista, valores unitarios e IVA si aplica). Los totales se calculan solos.</t>
        </is>
      </c>
    </row>
    <row r="51">
      <c r="C51" s="44" t="inlineStr">
        <is>
          <t>Firma del contratista</t>
        </is>
      </c>
      <c r="E51" s="44" t="inlineStr">
        <is>
          <t>Fecha</t>
        </is>
      </c>
      <c r="F51" s="45" t="n"/>
    </row>
    <row r="53">
      <c r="C53" s="46" t="inlineStr">
        <is>
          <t>Intura Grupo Constructor SAS  ·  310 426 1875  ·  gerencia@inturagrupoconstructor.com  ·  www.inturagrupoconstructor.com</t>
        </is>
      </c>
    </row>
  </sheetData>
  <mergeCells count="29">
    <mergeCell ref="F2:G5"/>
    <mergeCell ref="B16:C16"/>
    <mergeCell ref="D12:G12"/>
    <mergeCell ref="C42:G42"/>
    <mergeCell ref="D15:G15"/>
    <mergeCell ref="B5:E5"/>
    <mergeCell ref="C45:G45"/>
    <mergeCell ref="D14:G14"/>
    <mergeCell ref="B12:C12"/>
    <mergeCell ref="B4:E4"/>
    <mergeCell ref="B11:C11"/>
    <mergeCell ref="C47:G47"/>
    <mergeCell ref="C44:G44"/>
    <mergeCell ref="C41:G41"/>
    <mergeCell ref="B14:C14"/>
    <mergeCell ref="B3:E3"/>
    <mergeCell ref="D10:G10"/>
    <mergeCell ref="C40:G40"/>
    <mergeCell ref="B6:G6"/>
    <mergeCell ref="B13:C13"/>
    <mergeCell ref="C43:G43"/>
    <mergeCell ref="C46:G46"/>
    <mergeCell ref="B10:C10"/>
    <mergeCell ref="B2:E2"/>
    <mergeCell ref="D11:G11"/>
    <mergeCell ref="D13:G13"/>
    <mergeCell ref="C48:G48"/>
    <mergeCell ref="B15:C15"/>
    <mergeCell ref="D16:G16"/>
  </mergeCells>
  <printOptions horizontalCentered="1"/>
  <pageMargins left="0.4" right="0.4" top="0.4" bottom="0.6" header="0.2" footer="0.25"/>
  <pageSetup orientation="portrait" paperSize="1" fitToHeight="0" fitToWidth="1"/>
  <headerFooter>
    <oddHeader/>
    <oddFooter>&amp;L&amp;"Calibri"&amp;8 &amp;K6E7075Intura Grupo Constructor S.A.S.  ·  &amp;A&amp;R&amp;"Calibri"&amp;8 &amp;P /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2026-10-30T02:12:36Z</dcterms:created>
  <dcterms:modified xmlns:dcterms="http://purl.org/dc/terms/" xmlns:xsi="http://www.w3.org/2001/XMLSchema-instance" xsi:type="dcterms:W3CDTF">2026-10-30T02:12:36Z</dcterms:modified>
</cp:coreProperties>
</file>