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compra" sheetId="1" state="visible" r:id="rId3"/>
  </sheets>
  <definedNames>
    <definedName function="false" hidden="false" localSheetId="0" name="_xlnm.Print_Titles" vbProcedure="false">'Lista de compra'!$12:$12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<sst xmlns="http://schemas.openxmlformats.org/spreadsheetml/2006/main" count="245" uniqueCount="126">
  <si>
    <t xml:space="preserve">LISTA DE COMPRA DE MATERIALES</t>
  </si>
  <si>
    <t xml:space="preserve">PROYECTO</t>
  </si>
  <si>
    <t xml:space="preserve">Finca La Suiza — Balboa, Carminales Alto</t>
  </si>
  <si>
    <t xml:space="preserve">CLIENTE</t>
  </si>
  <si>
    <t xml:space="preserve">Diego Toro</t>
  </si>
  <si>
    <t xml:space="preserve">FECHA</t>
  </si>
  <si>
    <t xml:space="preserve">22 de octubre de 2026</t>
  </si>
  <si>
    <t xml:space="preserve">ELABORÓ</t>
  </si>
  <si>
    <t xml:space="preserve">Ing. Daniel García Tamayo — Intura Grupo Constructor S.A.S.</t>
  </si>
  <si>
    <t xml:space="preserve">Precios de referencia por unidad, consultados el 22 de octubre de 2026 (Homecenter: precio en línea). Pueden variar al momento de la compra; se recomienda confirmarlos con cada proveedor. La columna "Dónde comprar" indica el proveedor con el menor precio cotizado.</t>
  </si>
  <si>
    <t xml:space="preserve">No.</t>
  </si>
  <si>
    <t xml:space="preserve">MATERIAL</t>
  </si>
  <si>
    <t xml:space="preserve">UND</t>
  </si>
  <si>
    <t xml:space="preserve">CANTIDAD</t>
  </si>
  <si>
    <t xml:space="preserve">HOMECENTER</t>
  </si>
  <si>
    <t xml:space="preserve">FERRETERÍA BALBOA</t>
  </si>
  <si>
    <t xml:space="preserve">TALLER / METALMECÁNICA</t>
  </si>
  <si>
    <t xml:space="preserve">MEJOR PRECIO</t>
  </si>
  <si>
    <t xml:space="preserve">VALOR TOTAL</t>
  </si>
  <si>
    <t xml:space="preserve">DÓNDE COMPRAR</t>
  </si>
  <si>
    <t xml:space="preserve">ENLACE</t>
  </si>
  <si>
    <t xml:space="preserve">CONCRETOS Y MORTEROS</t>
  </si>
  <si>
    <t xml:space="preserve">Arena de pega (revoque)</t>
  </si>
  <si>
    <t xml:space="preserve">m³</t>
  </si>
  <si>
    <t xml:space="preserve">Arena de río</t>
  </si>
  <si>
    <t xml:space="preserve">Cemento gris uso general (bulto 50 kg)</t>
  </si>
  <si>
    <t xml:space="preserve">bto</t>
  </si>
  <si>
    <t xml:space="preserve">Ver producto</t>
  </si>
  <si>
    <t xml:space="preserve">Triturado 3/4"</t>
  </si>
  <si>
    <t xml:space="preserve">MAMPOSTERÍA</t>
  </si>
  <si>
    <t xml:space="preserve">Ladrillo farol 12 × 20 × 30 cm</t>
  </si>
  <si>
    <t xml:space="preserve">und</t>
  </si>
  <si>
    <t xml:space="preserve">Ladrillo macizo tolete 6 × 12 × 24 cm</t>
  </si>
  <si>
    <t xml:space="preserve">ACERO DE REFUERZO</t>
  </si>
  <si>
    <t xml:space="preserve">Alambre negro</t>
  </si>
  <si>
    <t xml:space="preserve">kg</t>
  </si>
  <si>
    <t xml:space="preserve">Varilla corrugada 1/2" × 6 m</t>
  </si>
  <si>
    <t xml:space="preserve">Varilla corrugada 1/4" × 6 m</t>
  </si>
  <si>
    <t xml:space="preserve">Varilla corrugada 3/8" × 6 m</t>
  </si>
  <si>
    <t xml:space="preserve">MADERAS, GUADUA Y FORMALETA</t>
  </si>
  <si>
    <t xml:space="preserve">Alambre galvanizado cal. 18</t>
  </si>
  <si>
    <t xml:space="preserve">Guadua inmunizada de 6 m</t>
  </si>
  <si>
    <t xml:space="preserve">Listón de madera 1 1/2" × 2" × 3 m</t>
  </si>
  <si>
    <t xml:space="preserve">Perno roscado 3/8" × 8" con tuerca y arandelas</t>
  </si>
  <si>
    <t xml:space="preserve">Puntilla con cabeza 2 1/2"</t>
  </si>
  <si>
    <t xml:space="preserve">lb</t>
  </si>
  <si>
    <t xml:space="preserve">Puntilla con cabeza 3"</t>
  </si>
  <si>
    <t xml:space="preserve">Tabla burra 0,30 × 3 m (formaleta)</t>
  </si>
  <si>
    <t xml:space="preserve">ESTRUCTURA METÁLICA</t>
  </si>
  <si>
    <t xml:space="preserve">Anticorrosivo (galón)</t>
  </si>
  <si>
    <t xml:space="preserve">gal</t>
  </si>
  <si>
    <t xml:space="preserve">Disco de corte para metal 4 1/2"</t>
  </si>
  <si>
    <t xml:space="preserve">Disco de pulir para metal 4 1/2"</t>
  </si>
  <si>
    <t xml:space="preserve">Disco diamantado 4 1/2" para mampostería</t>
  </si>
  <si>
    <t xml:space="preserve">Perfil metálico estructural (tipo PHR / tubo cuadrado según diseño)</t>
  </si>
  <si>
    <t xml:space="preserve">Perno de anclaje 1/2" × 6" con tuerca y arandela</t>
  </si>
  <si>
    <t xml:space="preserve">Platina de base 25 × 25 cm × 1/4"</t>
  </si>
  <si>
    <t xml:space="preserve">Soldadura E6013 1/8"</t>
  </si>
  <si>
    <t xml:space="preserve">Thinner (galón)</t>
  </si>
  <si>
    <t xml:space="preserve">CUBIERTAS, CANALES E IMPERMEABILIZACIÓN</t>
  </si>
  <si>
    <t xml:space="preserve">Broncoelástico (cuñete 5 galones)</t>
  </si>
  <si>
    <t xml:space="preserve">Caballete de zinc</t>
  </si>
  <si>
    <t xml:space="preserve">Cinta alumband</t>
  </si>
  <si>
    <t xml:space="preserve">Gancho o puntilla para zinc con capuchón</t>
  </si>
  <si>
    <t xml:space="preserve">Gancho o tornillo autoperforante para teja UPVC con capuchón</t>
  </si>
  <si>
    <t xml:space="preserve">Gancho o tornillo para teja con capuchón</t>
  </si>
  <si>
    <t xml:space="preserve">Lámina galvanizada cal. 24 (para canal)</t>
  </si>
  <si>
    <t xml:space="preserve">m</t>
  </si>
  <si>
    <t xml:space="preserve">Remache pop 1/8" (caja × 100)</t>
  </si>
  <si>
    <t xml:space="preserve">caja</t>
  </si>
  <si>
    <t xml:space="preserve">Soporte de canal en platina galvanizada</t>
  </si>
  <si>
    <t xml:space="preserve">Teja UPVC (pedir por largos según la pendiente)</t>
  </si>
  <si>
    <t xml:space="preserve">m²</t>
  </si>
  <si>
    <t xml:space="preserve">Teja de zinc ondulada de 3,05 m</t>
  </si>
  <si>
    <t xml:space="preserve">Tornillo con chazo 1/4" para anclaje de canal</t>
  </si>
  <si>
    <t xml:space="preserve">REPARACIÓN ESTRUCTURAL Y SELLOS</t>
  </si>
  <si>
    <t xml:space="preserve">Adhesivo epóxico para anclajes tipo Sikadur AnchorFix-2 (cartucho)</t>
  </si>
  <si>
    <t xml:space="preserve">Broca SDS Ø 5/8" para concreto</t>
  </si>
  <si>
    <t xml:space="preserve">Cepillo de alambre</t>
  </si>
  <si>
    <t xml:space="preserve">Cordón de respaldo tipo Sika Rod 3/8"</t>
  </si>
  <si>
    <t xml:space="preserve">Inhibidor de corrosión Sikatop Armatec 108</t>
  </si>
  <si>
    <t xml:space="preserve">Mortero de reparación estructural tipo Sikatop 122 (juego 30 kg)</t>
  </si>
  <si>
    <t xml:space="preserve">jgo</t>
  </si>
  <si>
    <t xml:space="preserve">Puente de adherencia epóxico tipo Sikadur 32 Primer (juego 1 kg)</t>
  </si>
  <si>
    <t xml:space="preserve">Sellante de poliuretano tipo Sikaflex 1A (cartucho 300 ml)</t>
  </si>
  <si>
    <t xml:space="preserve">Tornillo punta broca 8 × 1" para placa</t>
  </si>
  <si>
    <t xml:space="preserve">MURO EN SUPERBOARD</t>
  </si>
  <si>
    <t xml:space="preserve">Basecoat / mortero para juntas y acabado exterior (saco 25 kg)</t>
  </si>
  <si>
    <t xml:space="preserve">saco</t>
  </si>
  <si>
    <t xml:space="preserve">Canal galvanizada cal. 26 de 90 mm × 3 m</t>
  </si>
  <si>
    <t xml:space="preserve">Cinta de malla de fibra de vidrio (rollo 45 m)</t>
  </si>
  <si>
    <t xml:space="preserve">rollo</t>
  </si>
  <si>
    <t xml:space="preserve">Masilla para juntas (cuñete)</t>
  </si>
  <si>
    <t xml:space="preserve">cuñ</t>
  </si>
  <si>
    <t xml:space="preserve">Paral galvanizado cal. 26 de 89 mm × 3 m</t>
  </si>
  <si>
    <t xml:space="preserve">Placa Superboard 8 mm de 1,22 × 2,44 m</t>
  </si>
  <si>
    <t xml:space="preserve">Tornillo de estructura 7 × 7/16"</t>
  </si>
  <si>
    <t xml:space="preserve">Tornillo para madera 2 1/2" (caja × 100)</t>
  </si>
  <si>
    <t xml:space="preserve">ACABADOS</t>
  </si>
  <si>
    <t xml:space="preserve">Boquilla (bolsa 2 kg)</t>
  </si>
  <si>
    <t xml:space="preserve">Brocha 3"</t>
  </si>
  <si>
    <t xml:space="preserve">Estuco plástico listo (cuñete 5 gal)</t>
  </si>
  <si>
    <t xml:space="preserve">Graniplast (cuñete 5 gal)</t>
  </si>
  <si>
    <t xml:space="preserve">Lija de agua No. 120</t>
  </si>
  <si>
    <t xml:space="preserve">pliego</t>
  </si>
  <si>
    <t xml:space="preserve">Pegante cerámico (bulto 25 kg)</t>
  </si>
  <si>
    <t xml:space="preserve">Pintura para exterior (galón)</t>
  </si>
  <si>
    <t xml:space="preserve">Pintura vinilo tipo 1 (cuñete 5 gal)</t>
  </si>
  <si>
    <t xml:space="preserve">Pintura vinilo tipo 1 (galón)</t>
  </si>
  <si>
    <t xml:space="preserve">Rodillo de felpa 9" con bandeja</t>
  </si>
  <si>
    <t xml:space="preserve">Sellador acrílico para exterior (galón)</t>
  </si>
  <si>
    <t xml:space="preserve">Tableta de piso de reposición (igual a la existente)</t>
  </si>
  <si>
    <t xml:space="preserve">ELÉCTRICOS</t>
  </si>
  <si>
    <t xml:space="preserve">Cable de cobre THHN No. 12 AWG</t>
  </si>
  <si>
    <t xml:space="preserve">Caja de paso 2 × 4"</t>
  </si>
  <si>
    <t xml:space="preserve">Cinta aislante</t>
  </si>
  <si>
    <t xml:space="preserve">Interruptor sencillo</t>
  </si>
  <si>
    <t xml:space="preserve">Luminaria LED tipo panel o bala de 18 W</t>
  </si>
  <si>
    <t xml:space="preserve">Toma doble con polo a tierra</t>
  </si>
  <si>
    <t xml:space="preserve">Tubo conduit PVC 1/2" × 3 m</t>
  </si>
  <si>
    <t xml:space="preserve">VARIOS</t>
  </si>
  <si>
    <t xml:space="preserve">Estopa (costal) para escombros</t>
  </si>
  <si>
    <t xml:space="preserve">Comprar en Homecenter</t>
  </si>
  <si>
    <t xml:space="preserve">Comprar en Ferretería Balboa</t>
  </si>
  <si>
    <t xml:space="preserve">Comprar en Taller / metalmecánica</t>
  </si>
  <si>
    <t xml:space="preserve">TOTAL MATERIALES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</si>
</sst>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"/>
    <numFmt numFmtId="166" formatCode="&quot;$ &quot;#,##0;&quot;-$ &quot;#,##0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9"/>
      <color rgb="FF6E6E6E"/>
      <name val="Calibri"/>
      <family val="0"/>
      <charset val="1"/>
    </font>
    <font>
      <sz val="10"/>
      <color rgb="FF111214"/>
      <name val="Calibri"/>
      <family val="0"/>
      <charset val="1"/>
    </font>
    <font>
      <i val="true"/>
      <sz val="9"/>
      <color rgb="FF6E6E6E"/>
      <name val="Calibri"/>
      <family val="0"/>
      <charset val="1"/>
    </font>
    <font>
      <b val="true"/>
      <sz val="10"/>
      <color rgb="FF4472C4"/>
      <name val="Calibri"/>
      <family val="0"/>
      <charset val="1"/>
    </font>
    <font>
      <sz val="9"/>
      <color rgb="FF6E6E6E"/>
      <name val="Calibri"/>
      <family val="0"/>
      <charset val="1"/>
    </font>
    <font>
      <sz val="10"/>
      <color rgb="FF6E6E6E"/>
      <name val="Calibri"/>
      <family val="0"/>
      <charset val="1"/>
    </font>
    <font>
      <b val="true"/>
      <sz val="10"/>
      <color rgb="FF111214"/>
      <name val="Calibri"/>
      <family val="0"/>
      <charset val="1"/>
    </font>
    <font>
      <sz val="9"/>
      <color rgb="FF111214"/>
      <name val="Calibri"/>
      <family val="0"/>
      <charset val="1"/>
    </font>
    <font>
      <u val="single"/>
      <sz val="9"/>
      <color rgb="FF4472C4"/>
      <name val="Calibri"/>
      <family val="0"/>
      <charset val="1"/>
    </font>
    <font>
      <b val="true"/>
      <sz val="11"/>
      <color rgb="FF111214"/>
      <name val="Calibri"/>
      <family val="0"/>
      <charset val="1"/>
    </font>
    <font>
      <b val="true"/>
      <sz val="12"/>
      <color rgb="FF11121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111214"/>
      </patternFill>
    </fill>
    <fill>
      <patternFill patternType="solid">
        <fgColor rgb="FFEEF3FA"/>
        <bgColor rgb="FFF2F1EE"/>
      </patternFill>
    </fill>
    <fill>
      <patternFill patternType="solid">
        <fgColor rgb="FFF2F1EE"/>
        <bgColor rgb="FFEEF3F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214"/>
      </bottom>
      <diagonal/>
    </border>
    <border diagonalUp="false" diagonalDown="false">
      <left/>
      <right/>
      <top style="thin">
        <color rgb="FFD9D7D2"/>
      </top>
      <bottom/>
      <diagonal/>
    </border>
    <border diagonalUp="false" diagonalDown="false">
      <left/>
      <right/>
      <top style="medium">
        <color rgb="FF111214"/>
      </top>
      <bottom style="thin">
        <color rgb="FFD9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1EE"/>
      <rgbColor rgb="FFEEF3FA"/>
      <rgbColor rgb="FF660066"/>
      <rgbColor rgb="FFFF8080"/>
      <rgbColor rgb="FF0066CC"/>
      <rgbColor rgb="FFD9D7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E6E6E"/>
      <rgbColor rgb="FF969696"/>
      <rgbColor rgb="FF003366"/>
      <rgbColor rgb="FF339966"/>
      <rgbColor rgb="FF1112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0</xdr:row>
      <xdr:rowOff>57240</xdr:rowOff>
    </xdr:from>
    <xdr:to>
      <xdr:col>11</xdr:col>
      <xdr:colOff>182520</xdr:colOff>
      <xdr:row>2</xdr:row>
      <xdr:rowOff>142560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1418480" y="57240"/>
          <a:ext cx="102852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homecenter.com.co/homecenter-co/category/cat1420004/cementos/" TargetMode="External"/><Relationship Id="rId2" Type="http://schemas.openxmlformats.org/officeDocument/2006/relationships/hyperlink" Target="https://www.homecenter.com.co/homecenter-co/product/209381/" TargetMode="External"/><Relationship Id="rId3" Type="http://schemas.openxmlformats.org/officeDocument/2006/relationships/hyperlink" Target="https://www.homecenter.com.co/homecenter-co/product/41788/" TargetMode="External"/><Relationship Id="rId4" Type="http://schemas.openxmlformats.org/officeDocument/2006/relationships/hyperlink" Target="https://www.homecenter.com.co/homecenter-co/product/204985/" TargetMode="External"/><Relationship Id="rId5" Type="http://schemas.openxmlformats.org/officeDocument/2006/relationships/hyperlink" Target="https://www.homecenter.com.co/homecenter-co/product/73637/" TargetMode="External"/><Relationship Id="rId6" Type="http://schemas.openxmlformats.org/officeDocument/2006/relationships/hyperlink" Target="https://www.homecenter.com.co/homecenter-co/product/31061/" TargetMode="External"/><Relationship Id="rId7" Type="http://schemas.openxmlformats.org/officeDocument/2006/relationships/hyperlink" Target="https://www.homecenter.com.co/homecenter-co/product/84303/" TargetMode="External"/><Relationship Id="rId8" Type="http://schemas.openxmlformats.org/officeDocument/2006/relationships/hyperlink" Target="https://www.homecenter.com.co/homecenter-co/category/cat1660012/alambres-y-chipas/" TargetMode="External"/><Relationship Id="rId9" Type="http://schemas.openxmlformats.org/officeDocument/2006/relationships/hyperlink" Target="https://www.homecenter.com.co/homecenter-co/product/191880/" TargetMode="External"/><Relationship Id="rId10" Type="http://schemas.openxmlformats.org/officeDocument/2006/relationships/hyperlink" Target="https://www.homecenter.com.co/homecenter-co/product/91607/" TargetMode="External"/><Relationship Id="rId11" Type="http://schemas.openxmlformats.org/officeDocument/2006/relationships/hyperlink" Target="https://www.homecenter.com.co/homecenter-co/k/puntilla-con-cabeza" TargetMode="External"/><Relationship Id="rId12" Type="http://schemas.openxmlformats.org/officeDocument/2006/relationships/hyperlink" Target="https://www.homecenter.com.co/homecenter-co/product/64808/" TargetMode="External"/><Relationship Id="rId13" Type="http://schemas.openxmlformats.org/officeDocument/2006/relationships/hyperlink" Target="https://www.homecenter.com.co/homecenter-co/product/456255/" TargetMode="External"/><Relationship Id="rId14" Type="http://schemas.openxmlformats.org/officeDocument/2006/relationships/hyperlink" Target="https://www.homecenter.com.co/homecenter-co/product/11687/" TargetMode="External"/><Relationship Id="rId15" Type="http://schemas.openxmlformats.org/officeDocument/2006/relationships/hyperlink" Target="https://www.homecenter.com.co/homecenter-co/k/disco-corte-concreto" TargetMode="External"/><Relationship Id="rId16" Type="http://schemas.openxmlformats.org/officeDocument/2006/relationships/hyperlink" Target="https://www.homecenter.com.co/homecenter-co/product/07517/" TargetMode="External"/><Relationship Id="rId17" Type="http://schemas.openxmlformats.org/officeDocument/2006/relationships/hyperlink" Target="https://www.homecenter.com.co/homecenter-co/product/67286/" TargetMode="External"/><Relationship Id="rId18" Type="http://schemas.openxmlformats.org/officeDocument/2006/relationships/hyperlink" Target="https://www.homecenter.com.co/homecenter-co/category/cat1420019/impermeabilizantes-y-barreras-de-humedad/?f.product.brandName=bronco" TargetMode="External"/><Relationship Id="rId19" Type="http://schemas.openxmlformats.org/officeDocument/2006/relationships/hyperlink" Target="https://www.homecenter.com.co/homecenter-co/category/cat1690177/tejas-de-zinc-y-metalicas/" TargetMode="External"/><Relationship Id="rId20" Type="http://schemas.openxmlformats.org/officeDocument/2006/relationships/hyperlink" Target="https://www.homecenter.com.co/homecenter-co/product/393706/" TargetMode="External"/><Relationship Id="rId21" Type="http://schemas.openxmlformats.org/officeDocument/2006/relationships/hyperlink" Target="https://www.homecenter.com.co/homecenter-co/product/135923/" TargetMode="External"/><Relationship Id="rId22" Type="http://schemas.openxmlformats.org/officeDocument/2006/relationships/hyperlink" Target="https://www.homecenter.com.co/homecenter-co/product/131942/" TargetMode="External"/><Relationship Id="rId23" Type="http://schemas.openxmlformats.org/officeDocument/2006/relationships/hyperlink" Target="https://www.homecenter.com.co/homecenter-co/product/135923/" TargetMode="External"/><Relationship Id="rId24" Type="http://schemas.openxmlformats.org/officeDocument/2006/relationships/hyperlink" Target="https://www.homecenter.com.co/homecenter-co/category/cat5510016/tejas-termoacusticas-y-tipo-sandwich/?f.product.attribute.Material=upvc" TargetMode="External"/><Relationship Id="rId25" Type="http://schemas.openxmlformats.org/officeDocument/2006/relationships/hyperlink" Target="https://www.homecenter.com.co/homecenter-co/product/87183/" TargetMode="External"/><Relationship Id="rId26" Type="http://schemas.openxmlformats.org/officeDocument/2006/relationships/hyperlink" Target="https://www.homecenter.com.co/homecenter-co/product/359348/" TargetMode="External"/><Relationship Id="rId27" Type="http://schemas.openxmlformats.org/officeDocument/2006/relationships/hyperlink" Target="https://www.homecenter.com.co/homecenter-co/product/236467/" TargetMode="External"/><Relationship Id="rId28" Type="http://schemas.openxmlformats.org/officeDocument/2006/relationships/hyperlink" Target="https://www.homecenter.com.co/homecenter-co/product/525427/" TargetMode="External"/><Relationship Id="rId29" Type="http://schemas.openxmlformats.org/officeDocument/2006/relationships/hyperlink" Target="https://www.homecenter.com.co/homecenter-co/product/456321/" TargetMode="External"/><Relationship Id="rId30" Type="http://schemas.openxmlformats.org/officeDocument/2006/relationships/hyperlink" Target="https://www.homecenter.com.co/homecenter-co/product/39312/" TargetMode="External"/><Relationship Id="rId31" Type="http://schemas.openxmlformats.org/officeDocument/2006/relationships/hyperlink" Target="https://www.homecenter.com.co/homecenter-co/k/mortero-sika" TargetMode="External"/><Relationship Id="rId32" Type="http://schemas.openxmlformats.org/officeDocument/2006/relationships/hyperlink" Target="https://www.homecenter.com.co/homecenter-co/product/07507/" TargetMode="External"/><Relationship Id="rId33" Type="http://schemas.openxmlformats.org/officeDocument/2006/relationships/hyperlink" Target="https://www.homecenter.com.co/homecenter-co/product/738095/" TargetMode="External"/><Relationship Id="rId34" Type="http://schemas.openxmlformats.org/officeDocument/2006/relationships/hyperlink" Target="https://www.homecenter.com.co/homecenter-co/product/565066/" TargetMode="External"/><Relationship Id="rId35" Type="http://schemas.openxmlformats.org/officeDocument/2006/relationships/hyperlink" Target="https://www.homecenter.com.co/homecenter-co/product/542171/" TargetMode="External"/><Relationship Id="rId36" Type="http://schemas.openxmlformats.org/officeDocument/2006/relationships/hyperlink" Target="https://www.homecenter.com.co/homecenter-co/product/90912/" TargetMode="External"/><Relationship Id="rId37" Type="http://schemas.openxmlformats.org/officeDocument/2006/relationships/hyperlink" Target="https://www.homecenter.com.co/homecenter-co/category/cat2430001/cintas-drywall/" TargetMode="External"/><Relationship Id="rId38" Type="http://schemas.openxmlformats.org/officeDocument/2006/relationships/hyperlink" Target="https://www.homecenter.com.co/homecenter-co/category/cat2430003/masillas-para-drywall/" TargetMode="External"/><Relationship Id="rId39" Type="http://schemas.openxmlformats.org/officeDocument/2006/relationships/hyperlink" Target="https://www.homecenter.com.co/homecenter-co/product/156246/" TargetMode="External"/><Relationship Id="rId40" Type="http://schemas.openxmlformats.org/officeDocument/2006/relationships/hyperlink" Target="https://www.homecenter.com.co/homecenter-co/product/12198/" TargetMode="External"/><Relationship Id="rId41" Type="http://schemas.openxmlformats.org/officeDocument/2006/relationships/hyperlink" Target="https://www.homecenter.com.co/homecenter-co/product/70608/" TargetMode="External"/><Relationship Id="rId42" Type="http://schemas.openxmlformats.org/officeDocument/2006/relationships/hyperlink" Target="https://www.homecenter.com.co/homecenter-co/product/169325/" TargetMode="External"/><Relationship Id="rId43" Type="http://schemas.openxmlformats.org/officeDocument/2006/relationships/hyperlink" Target="https://www.homecenter.com.co/homecenter-co/product/164277/" TargetMode="External"/><Relationship Id="rId44" Type="http://schemas.openxmlformats.org/officeDocument/2006/relationships/hyperlink" Target="https://www.homecenter.com.co/homecenter-co/product/202823/" TargetMode="External"/><Relationship Id="rId45" Type="http://schemas.openxmlformats.org/officeDocument/2006/relationships/hyperlink" Target="https://www.homecenter.com.co/homecenter-co/product/135257/" TargetMode="External"/><Relationship Id="rId46" Type="http://schemas.openxmlformats.org/officeDocument/2006/relationships/hyperlink" Target="https://www.homecenter.com.co/homecenter-co/product/15743/" TargetMode="External"/><Relationship Id="rId47" Type="http://schemas.openxmlformats.org/officeDocument/2006/relationships/hyperlink" Target="https://www.homecenter.com.co/homecenter-co/product/298882/" TargetMode="External"/><Relationship Id="rId48" Type="http://schemas.openxmlformats.org/officeDocument/2006/relationships/hyperlink" Target="https://www.homecenter.com.co/homecenter-co/product/25440/" TargetMode="External"/><Relationship Id="rId49" Type="http://schemas.openxmlformats.org/officeDocument/2006/relationships/hyperlink" Target="https://www.homecenter.com.co/homecenter-co/k/viniltex-cunete" TargetMode="External"/><Relationship Id="rId50" Type="http://schemas.openxmlformats.org/officeDocument/2006/relationships/hyperlink" Target="https://www.homecenter.com.co/homecenter-co/product/58175/" TargetMode="External"/><Relationship Id="rId51" Type="http://schemas.openxmlformats.org/officeDocument/2006/relationships/hyperlink" Target="https://www.homecenter.com.co/homecenter-co/product/170986/" TargetMode="External"/><Relationship Id="rId52" Type="http://schemas.openxmlformats.org/officeDocument/2006/relationships/hyperlink" Target="https://www.homecenter.com.co/homecenter-co/category/cat10462/pinturas/?f.product.attribute.Tipo=imprimantes" TargetMode="External"/><Relationship Id="rId53" Type="http://schemas.openxmlformats.org/officeDocument/2006/relationships/hyperlink" Target="https://www.homecenter.com.co/homecenter-co/product/274236/" TargetMode="External"/><Relationship Id="rId54" Type="http://schemas.openxmlformats.org/officeDocument/2006/relationships/hyperlink" Target="https://www.homecenter.com.co/homecenter-co/product/350569/" TargetMode="External"/><Relationship Id="rId55" Type="http://schemas.openxmlformats.org/officeDocument/2006/relationships/hyperlink" Target="https://www.homecenter.com.co/homecenter-co/product/310552/" TargetMode="External"/><Relationship Id="rId56" Type="http://schemas.openxmlformats.org/officeDocument/2006/relationships/hyperlink" Target="https://www.homecenter.com.co/homecenter-co/product/105840/" TargetMode="External"/><Relationship Id="rId57" Type="http://schemas.openxmlformats.org/officeDocument/2006/relationships/hyperlink" Target="https://www.homecenter.com.co/homecenter-co/product/588251/" TargetMode="External"/><Relationship Id="rId58" Type="http://schemas.openxmlformats.org/officeDocument/2006/relationships/hyperlink" Target="https://www.homecenter.com.co/homecenter-co/product/596780/" TargetMode="External"/><Relationship Id="rId59" Type="http://schemas.openxmlformats.org/officeDocument/2006/relationships/hyperlink" Target="https://www.homecenter.com.co/homecenter-co/product/04651/" TargetMode="External"/><Relationship Id="rId6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2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8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5" customFormat="false" ht="15" hidden="false" customHeight="false" outlineLevel="0" collapsed="false">
      <c r="A5" s="3" t="s">
        <v>1</v>
      </c>
      <c r="B5" s="4" t="s">
        <v>2</v>
      </c>
    </row>
    <row r="6" customFormat="false" ht="15" hidden="false" customHeight="false" outlineLevel="0" collapsed="false">
      <c r="A6" s="3" t="s">
        <v>3</v>
      </c>
      <c r="B6" s="4" t="s">
        <v>4</v>
      </c>
    </row>
    <row r="7" customFormat="false" ht="1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10" customFormat="false" ht="15" hidden="false" customHeight="false" outlineLevel="0" collapsed="false">
      <c r="A10" s="5" t="s">
        <v>9</v>
      </c>
    </row>
    <row r="12" customFormat="false" ht="30" hidden="false" customHeight="true" outlineLevel="0" collapsed="false">
      <c r="A12" s="6" t="s">
        <v>10</v>
      </c>
      <c r="B12" s="7" t="s">
        <v>11</v>
      </c>
      <c r="C12" s="6" t="s">
        <v>12</v>
      </c>
      <c r="D12" s="8" t="s">
        <v>13</v>
      </c>
      <c r="E12" s="8" t="s">
        <v>14</v>
      </c>
      <c r="F12" s="8" t="s">
        <v>15</v>
      </c>
      <c r="G12" s="8" t="s">
        <v>16</v>
      </c>
      <c r="H12" s="8" t="s">
        <v>17</v>
      </c>
      <c r="I12" s="8" t="s">
        <v>18</v>
      </c>
      <c r="J12" s="6" t="s">
        <v>19</v>
      </c>
      <c r="K12" s="6" t="s">
        <v>20</v>
      </c>
    </row>
    <row r="13" customFormat="false" ht="15" hidden="false" customHeight="false" outlineLevel="0" collapsed="false">
      <c r="A13" s="9"/>
      <c r="B13" s="10" t="s">
        <v>21</v>
      </c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false" outlineLevel="0" collapsed="false">
      <c r="A14" s="11" t="n">
        <v>1</v>
      </c>
      <c r="B14" s="12" t="s">
        <v>22</v>
      </c>
      <c r="C14" s="13" t="s">
        <v>23</v>
      </c>
      <c r="D14" s="14" t="n">
        <v>1</v>
      </c>
      <c r="E14" s="15"/>
      <c r="F14" s="15" t="n">
        <v>100000</v>
      </c>
      <c r="G14" s="15"/>
      <c r="H14" s="16" t="n">
        <f aca="false">IF(COUNTIF(E14:G14,"&gt;0")=0,"",_xlfn.MINIFS(E14:G14,E14:G14,"&gt;0"))</f>
        <v>100000</v>
      </c>
      <c r="I14" s="17" t="n">
        <f aca="false">IF(OR(D14="",H14=""),"",D14*H14)</f>
        <v>100000</v>
      </c>
      <c r="J14" s="18" t="str">
        <f aca="false">IF(H14="","",INDEX($E$12:$G$12,MATCH(H14,E14:G14,0)))</f>
        <v>FERRETERÍA BALBOA</v>
      </c>
    </row>
    <row r="15" customFormat="false" ht="15" hidden="false" customHeight="false" outlineLevel="0" collapsed="false">
      <c r="A15" s="11" t="n">
        <v>2</v>
      </c>
      <c r="B15" s="12" t="s">
        <v>24</v>
      </c>
      <c r="C15" s="13" t="s">
        <v>23</v>
      </c>
      <c r="D15" s="14" t="n">
        <v>2</v>
      </c>
      <c r="E15" s="15"/>
      <c r="F15" s="15" t="n">
        <v>100000</v>
      </c>
      <c r="G15" s="15"/>
      <c r="H15" s="16" t="n">
        <f aca="false">IF(COUNTIF(E15:G15,"&gt;0")=0,"",_xlfn.MINIFS(E15:G15,E15:G15,"&gt;0"))</f>
        <v>100000</v>
      </c>
      <c r="I15" s="17" t="n">
        <f aca="false">IF(OR(D15="",H15=""),"",D15*H15)</f>
        <v>200000</v>
      </c>
      <c r="J15" s="18" t="str">
        <f aca="false">IF(H15="","",INDEX($E$12:$G$12,MATCH(H15,E15:G15,0)))</f>
        <v>FERRETERÍA BALBOA</v>
      </c>
    </row>
    <row r="16" customFormat="false" ht="15" hidden="false" customHeight="false" outlineLevel="0" collapsed="false">
      <c r="A16" s="11" t="n">
        <v>3</v>
      </c>
      <c r="B16" s="12" t="s">
        <v>25</v>
      </c>
      <c r="C16" s="13" t="s">
        <v>26</v>
      </c>
      <c r="D16" s="14" t="n">
        <v>25</v>
      </c>
      <c r="E16" s="15" t="n">
        <v>32500</v>
      </c>
      <c r="F16" s="15"/>
      <c r="G16" s="15"/>
      <c r="H16" s="16" t="n">
        <f aca="false">IF(COUNTIF(E16:G16,"&gt;0")=0,"",_xlfn.MINIFS(E16:G16,E16:G16,"&gt;0"))</f>
        <v>32500</v>
      </c>
      <c r="I16" s="17" t="n">
        <f aca="false">IF(OR(D16="",H16=""),"",D16*H16)</f>
        <v>812500</v>
      </c>
      <c r="J16" s="18" t="str">
        <f aca="false">IF(H16="","",INDEX($E$12:$G$12,MATCH(H16,E16:G16,0)))</f>
        <v>HOMECENTER</v>
      </c>
      <c r="K16" s="19" t="s">
        <v>27</v>
      </c>
    </row>
    <row r="17" customFormat="false" ht="15" hidden="false" customHeight="false" outlineLevel="0" collapsed="false">
      <c r="A17" s="11" t="n">
        <v>4</v>
      </c>
      <c r="B17" s="12" t="s">
        <v>28</v>
      </c>
      <c r="C17" s="13" t="s">
        <v>23</v>
      </c>
      <c r="D17" s="14" t="n">
        <v>2</v>
      </c>
      <c r="E17" s="15"/>
      <c r="F17" s="15" t="n">
        <v>120000</v>
      </c>
      <c r="G17" s="15"/>
      <c r="H17" s="16" t="n">
        <f aca="false">IF(COUNTIF(E17:G17,"&gt;0")=0,"",_xlfn.MINIFS(E17:G17,E17:G17,"&gt;0"))</f>
        <v>120000</v>
      </c>
      <c r="I17" s="17" t="n">
        <f aca="false">IF(OR(D17="",H17=""),"",D17*H17)</f>
        <v>240000</v>
      </c>
      <c r="J17" s="18" t="str">
        <f aca="false">IF(H17="","",INDEX($E$12:$G$12,MATCH(H17,E17:G17,0)))</f>
        <v>FERRETERÍA BALBOA</v>
      </c>
    </row>
    <row r="18" customFormat="false" ht="15" hidden="false" customHeight="false" outlineLevel="0" collapsed="false">
      <c r="A18" s="9"/>
      <c r="B18" s="10" t="s">
        <v>29</v>
      </c>
      <c r="C18" s="9"/>
      <c r="D18" s="9"/>
      <c r="E18" s="9"/>
      <c r="F18" s="9"/>
      <c r="G18" s="9"/>
      <c r="H18" s="9"/>
      <c r="I18" s="9"/>
      <c r="J18" s="9"/>
      <c r="K18" s="9"/>
    </row>
    <row r="19" customFormat="false" ht="15" hidden="false" customHeight="false" outlineLevel="0" collapsed="false">
      <c r="A19" s="11" t="n">
        <v>5</v>
      </c>
      <c r="B19" s="12" t="s">
        <v>30</v>
      </c>
      <c r="C19" s="13" t="s">
        <v>31</v>
      </c>
      <c r="D19" s="14" t="n">
        <v>50</v>
      </c>
      <c r="E19" s="15" t="n">
        <v>880</v>
      </c>
      <c r="F19" s="15"/>
      <c r="G19" s="15"/>
      <c r="H19" s="16" t="n">
        <f aca="false">IF(COUNTIF(E19:G19,"&gt;0")=0,"",_xlfn.MINIFS(E19:G19,E19:G19,"&gt;0"))</f>
        <v>880</v>
      </c>
      <c r="I19" s="17" t="n">
        <f aca="false">IF(OR(D19="",H19=""),"",D19*H19)</f>
        <v>44000</v>
      </c>
      <c r="J19" s="18" t="str">
        <f aca="false">IF(H19="","",INDEX($E$12:$G$12,MATCH(H19,E19:G19,0)))</f>
        <v>HOMECENTER</v>
      </c>
      <c r="K19" s="19" t="s">
        <v>27</v>
      </c>
    </row>
    <row r="20" customFormat="false" ht="15" hidden="false" customHeight="false" outlineLevel="0" collapsed="false">
      <c r="A20" s="11" t="n">
        <v>6</v>
      </c>
      <c r="B20" s="12" t="s">
        <v>32</v>
      </c>
      <c r="C20" s="13" t="s">
        <v>31</v>
      </c>
      <c r="D20" s="14" t="n">
        <v>1440</v>
      </c>
      <c r="E20" s="15" t="n">
        <v>620</v>
      </c>
      <c r="F20" s="15"/>
      <c r="G20" s="15"/>
      <c r="H20" s="16" t="n">
        <f aca="false">IF(COUNTIF(E20:G20,"&gt;0")=0,"",_xlfn.MINIFS(E20:G20,E20:G20,"&gt;0"))</f>
        <v>620</v>
      </c>
      <c r="I20" s="17" t="n">
        <f aca="false">IF(OR(D20="",H20=""),"",D20*H20)</f>
        <v>892800</v>
      </c>
      <c r="J20" s="18" t="str">
        <f aca="false">IF(H20="","",INDEX($E$12:$G$12,MATCH(H20,E20:G20,0)))</f>
        <v>HOMECENTER</v>
      </c>
      <c r="K20" s="19" t="s">
        <v>27</v>
      </c>
    </row>
    <row r="21" customFormat="false" ht="15" hidden="false" customHeight="false" outlineLevel="0" collapsed="false">
      <c r="A21" s="9"/>
      <c r="B21" s="10" t="s">
        <v>33</v>
      </c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5" hidden="false" customHeight="false" outlineLevel="0" collapsed="false">
      <c r="A22" s="11" t="n">
        <v>7</v>
      </c>
      <c r="B22" s="12" t="s">
        <v>34</v>
      </c>
      <c r="C22" s="13" t="s">
        <v>35</v>
      </c>
      <c r="D22" s="14" t="n">
        <v>11</v>
      </c>
      <c r="E22" s="15" t="n">
        <v>9500</v>
      </c>
      <c r="F22" s="15"/>
      <c r="G22" s="15"/>
      <c r="H22" s="16" t="n">
        <f aca="false">IF(COUNTIF(E22:G22,"&gt;0")=0,"",_xlfn.MINIFS(E22:G22,E22:G22,"&gt;0"))</f>
        <v>9500</v>
      </c>
      <c r="I22" s="17" t="n">
        <f aca="false">IF(OR(D22="",H22=""),"",D22*H22)</f>
        <v>104500</v>
      </c>
      <c r="J22" s="18" t="str">
        <f aca="false">IF(H22="","",INDEX($E$12:$G$12,MATCH(H22,E22:G22,0)))</f>
        <v>HOMECENTER</v>
      </c>
      <c r="K22" s="19" t="s">
        <v>27</v>
      </c>
    </row>
    <row r="23" customFormat="false" ht="15" hidden="false" customHeight="false" outlineLevel="0" collapsed="false">
      <c r="A23" s="11" t="n">
        <v>8</v>
      </c>
      <c r="B23" s="12" t="s">
        <v>36</v>
      </c>
      <c r="C23" s="13" t="s">
        <v>31</v>
      </c>
      <c r="D23" s="14" t="n">
        <v>28</v>
      </c>
      <c r="E23" s="15" t="n">
        <v>23650</v>
      </c>
      <c r="F23" s="15"/>
      <c r="G23" s="15"/>
      <c r="H23" s="16" t="n">
        <f aca="false">IF(COUNTIF(E23:G23,"&gt;0")=0,"",_xlfn.MINIFS(E23:G23,E23:G23,"&gt;0"))</f>
        <v>23650</v>
      </c>
      <c r="I23" s="17" t="n">
        <f aca="false">IF(OR(D23="",H23=""),"",D23*H23)</f>
        <v>662200</v>
      </c>
      <c r="J23" s="18" t="str">
        <f aca="false">IF(H23="","",INDEX($E$12:$G$12,MATCH(H23,E23:G23,0)))</f>
        <v>HOMECENTER</v>
      </c>
      <c r="K23" s="19" t="s">
        <v>27</v>
      </c>
    </row>
    <row r="24" customFormat="false" ht="15" hidden="false" customHeight="false" outlineLevel="0" collapsed="false">
      <c r="A24" s="11" t="n">
        <v>9</v>
      </c>
      <c r="B24" s="12" t="s">
        <v>37</v>
      </c>
      <c r="C24" s="13" t="s">
        <v>31</v>
      </c>
      <c r="D24" s="14" t="n">
        <v>25</v>
      </c>
      <c r="E24" s="15" t="n">
        <v>7900</v>
      </c>
      <c r="F24" s="15"/>
      <c r="G24" s="15"/>
      <c r="H24" s="16" t="n">
        <f aca="false">IF(COUNTIF(E24:G24,"&gt;0")=0,"",_xlfn.MINIFS(E24:G24,E24:G24,"&gt;0"))</f>
        <v>7900</v>
      </c>
      <c r="I24" s="17" t="n">
        <f aca="false">IF(OR(D24="",H24=""),"",D24*H24)</f>
        <v>197500</v>
      </c>
      <c r="J24" s="18" t="str">
        <f aca="false">IF(H24="","",INDEX($E$12:$G$12,MATCH(H24,E24:G24,0)))</f>
        <v>HOMECENTER</v>
      </c>
      <c r="K24" s="19" t="s">
        <v>27</v>
      </c>
    </row>
    <row r="25" customFormat="false" ht="15" hidden="false" customHeight="false" outlineLevel="0" collapsed="false">
      <c r="A25" s="11" t="n">
        <v>10</v>
      </c>
      <c r="B25" s="12" t="s">
        <v>38</v>
      </c>
      <c r="C25" s="13" t="s">
        <v>31</v>
      </c>
      <c r="D25" s="14" t="n">
        <v>60</v>
      </c>
      <c r="E25" s="15" t="n">
        <v>13890</v>
      </c>
      <c r="F25" s="15"/>
      <c r="G25" s="15"/>
      <c r="H25" s="16" t="n">
        <f aca="false">IF(COUNTIF(E25:G25,"&gt;0")=0,"",_xlfn.MINIFS(E25:G25,E25:G25,"&gt;0"))</f>
        <v>13890</v>
      </c>
      <c r="I25" s="17" t="n">
        <f aca="false">IF(OR(D25="",H25=""),"",D25*H25)</f>
        <v>833400</v>
      </c>
      <c r="J25" s="18" t="str">
        <f aca="false">IF(H25="","",INDEX($E$12:$G$12,MATCH(H25,E25:G25,0)))</f>
        <v>HOMECENTER</v>
      </c>
      <c r="K25" s="19" t="s">
        <v>27</v>
      </c>
    </row>
    <row r="26" customFormat="false" ht="15" hidden="false" customHeight="false" outlineLevel="0" collapsed="false">
      <c r="A26" s="9"/>
      <c r="B26" s="10" t="s">
        <v>39</v>
      </c>
      <c r="C26" s="9"/>
      <c r="D26" s="9"/>
      <c r="E26" s="9"/>
      <c r="F26" s="9"/>
      <c r="G26" s="9"/>
      <c r="H26" s="9"/>
      <c r="I26" s="9"/>
      <c r="J26" s="9"/>
      <c r="K26" s="9"/>
    </row>
    <row r="27" customFormat="false" ht="15" hidden="false" customHeight="false" outlineLevel="0" collapsed="false">
      <c r="A27" s="11" t="n">
        <v>11</v>
      </c>
      <c r="B27" s="12" t="s">
        <v>40</v>
      </c>
      <c r="C27" s="13" t="s">
        <v>35</v>
      </c>
      <c r="D27" s="14" t="n">
        <v>2</v>
      </c>
      <c r="E27" s="15" t="n">
        <v>15900</v>
      </c>
      <c r="F27" s="15"/>
      <c r="G27" s="15"/>
      <c r="H27" s="16" t="n">
        <f aca="false">IF(COUNTIF(E27:G27,"&gt;0")=0,"",_xlfn.MINIFS(E27:G27,E27:G27,"&gt;0"))</f>
        <v>15900</v>
      </c>
      <c r="I27" s="17" t="n">
        <f aca="false">IF(OR(D27="",H27=""),"",D27*H27)</f>
        <v>31800</v>
      </c>
      <c r="J27" s="18" t="str">
        <f aca="false">IF(H27="","",INDEX($E$12:$G$12,MATCH(H27,E27:G27,0)))</f>
        <v>HOMECENTER</v>
      </c>
      <c r="K27" s="19" t="s">
        <v>27</v>
      </c>
    </row>
    <row r="28" customFormat="false" ht="15" hidden="false" customHeight="false" outlineLevel="0" collapsed="false">
      <c r="A28" s="11" t="n">
        <v>12</v>
      </c>
      <c r="B28" s="12" t="s">
        <v>41</v>
      </c>
      <c r="C28" s="13" t="s">
        <v>31</v>
      </c>
      <c r="D28" s="14" t="n">
        <v>12</v>
      </c>
      <c r="E28" s="15"/>
      <c r="F28" s="15" t="n">
        <v>12000</v>
      </c>
      <c r="G28" s="15"/>
      <c r="H28" s="16" t="n">
        <f aca="false">IF(COUNTIF(E28:G28,"&gt;0")=0,"",_xlfn.MINIFS(E28:G28,E28:G28,"&gt;0"))</f>
        <v>12000</v>
      </c>
      <c r="I28" s="17" t="n">
        <f aca="false">IF(OR(D28="",H28=""),"",D28*H28)</f>
        <v>144000</v>
      </c>
      <c r="J28" s="18" t="str">
        <f aca="false">IF(H28="","",INDEX($E$12:$G$12,MATCH(H28,E28:G28,0)))</f>
        <v>FERRETERÍA BALBOA</v>
      </c>
    </row>
    <row r="29" customFormat="false" ht="15" hidden="false" customHeight="false" outlineLevel="0" collapsed="false">
      <c r="A29" s="11" t="n">
        <v>13</v>
      </c>
      <c r="B29" s="12" t="s">
        <v>42</v>
      </c>
      <c r="C29" s="13" t="s">
        <v>31</v>
      </c>
      <c r="D29" s="14" t="n">
        <v>15</v>
      </c>
      <c r="E29" s="15" t="n">
        <v>5400</v>
      </c>
      <c r="F29" s="15"/>
      <c r="G29" s="15"/>
      <c r="H29" s="16" t="n">
        <f aca="false">IF(COUNTIF(E29:G29,"&gt;0")=0,"",_xlfn.MINIFS(E29:G29,E29:G29,"&gt;0"))</f>
        <v>5400</v>
      </c>
      <c r="I29" s="17" t="n">
        <f aca="false">IF(OR(D29="",H29=""),"",D29*H29)</f>
        <v>81000</v>
      </c>
      <c r="J29" s="18" t="str">
        <f aca="false">IF(H29="","",INDEX($E$12:$G$12,MATCH(H29,E29:G29,0)))</f>
        <v>HOMECENTER</v>
      </c>
      <c r="K29" s="19" t="s">
        <v>27</v>
      </c>
    </row>
    <row r="30" customFormat="false" ht="15" hidden="false" customHeight="false" outlineLevel="0" collapsed="false">
      <c r="A30" s="11" t="n">
        <v>14</v>
      </c>
      <c r="B30" s="12" t="s">
        <v>43</v>
      </c>
      <c r="C30" s="13" t="s">
        <v>31</v>
      </c>
      <c r="D30" s="14" t="n">
        <v>24</v>
      </c>
      <c r="E30" s="15"/>
      <c r="F30" s="15" t="n">
        <v>5000</v>
      </c>
      <c r="G30" s="15"/>
      <c r="H30" s="16" t="n">
        <f aca="false">IF(COUNTIF(E30:G30,"&gt;0")=0,"",_xlfn.MINIFS(E30:G30,E30:G30,"&gt;0"))</f>
        <v>5000</v>
      </c>
      <c r="I30" s="17" t="n">
        <f aca="false">IF(OR(D30="",H30=""),"",D30*H30)</f>
        <v>120000</v>
      </c>
      <c r="J30" s="18" t="str">
        <f aca="false">IF(H30="","",INDEX($E$12:$G$12,MATCH(H30,E30:G30,0)))</f>
        <v>FERRETERÍA BALBOA</v>
      </c>
    </row>
    <row r="31" customFormat="false" ht="15" hidden="false" customHeight="false" outlineLevel="0" collapsed="false">
      <c r="A31" s="11" t="n">
        <v>15</v>
      </c>
      <c r="B31" s="12" t="s">
        <v>44</v>
      </c>
      <c r="C31" s="13" t="s">
        <v>45</v>
      </c>
      <c r="D31" s="14" t="n">
        <v>5</v>
      </c>
      <c r="E31" s="15" t="n">
        <v>5100</v>
      </c>
      <c r="F31" s="15"/>
      <c r="G31" s="15"/>
      <c r="H31" s="16" t="n">
        <f aca="false">IF(COUNTIF(E31:G31,"&gt;0")=0,"",_xlfn.MINIFS(E31:G31,E31:G31,"&gt;0"))</f>
        <v>5100</v>
      </c>
      <c r="I31" s="17" t="n">
        <f aca="false">IF(OR(D31="",H31=""),"",D31*H31)</f>
        <v>25500</v>
      </c>
      <c r="J31" s="18" t="str">
        <f aca="false">IF(H31="","",INDEX($E$12:$G$12,MATCH(H31,E31:G31,0)))</f>
        <v>HOMECENTER</v>
      </c>
      <c r="K31" s="19" t="s">
        <v>27</v>
      </c>
    </row>
    <row r="32" customFormat="false" ht="15" hidden="false" customHeight="false" outlineLevel="0" collapsed="false">
      <c r="A32" s="11" t="n">
        <v>16</v>
      </c>
      <c r="B32" s="12" t="s">
        <v>46</v>
      </c>
      <c r="C32" s="13" t="s">
        <v>45</v>
      </c>
      <c r="D32" s="14" t="n">
        <v>2</v>
      </c>
      <c r="E32" s="15" t="n">
        <v>5100</v>
      </c>
      <c r="F32" s="15"/>
      <c r="G32" s="15"/>
      <c r="H32" s="16" t="n">
        <f aca="false">IF(COUNTIF(E32:G32,"&gt;0")=0,"",_xlfn.MINIFS(E32:G32,E32:G32,"&gt;0"))</f>
        <v>5100</v>
      </c>
      <c r="I32" s="17" t="n">
        <f aca="false">IF(OR(D32="",H32=""),"",D32*H32)</f>
        <v>10200</v>
      </c>
      <c r="J32" s="18" t="str">
        <f aca="false">IF(H32="","",INDEX($E$12:$G$12,MATCH(H32,E32:G32,0)))</f>
        <v>HOMECENTER</v>
      </c>
      <c r="K32" s="19" t="s">
        <v>27</v>
      </c>
    </row>
    <row r="33" customFormat="false" ht="15" hidden="false" customHeight="false" outlineLevel="0" collapsed="false">
      <c r="A33" s="11" t="n">
        <v>17</v>
      </c>
      <c r="B33" s="12" t="s">
        <v>47</v>
      </c>
      <c r="C33" s="13" t="s">
        <v>31</v>
      </c>
      <c r="D33" s="14" t="n">
        <v>25</v>
      </c>
      <c r="E33" s="15"/>
      <c r="F33" s="15" t="n">
        <v>20000</v>
      </c>
      <c r="G33" s="15"/>
      <c r="H33" s="16" t="n">
        <f aca="false">IF(COUNTIF(E33:G33,"&gt;0")=0,"",_xlfn.MINIFS(E33:G33,E33:G33,"&gt;0"))</f>
        <v>20000</v>
      </c>
      <c r="I33" s="17" t="n">
        <f aca="false">IF(OR(D33="",H33=""),"",D33*H33)</f>
        <v>500000</v>
      </c>
      <c r="J33" s="18" t="str">
        <f aca="false">IF(H33="","",INDEX($E$12:$G$12,MATCH(H33,E33:G33,0)))</f>
        <v>FERRETERÍA BALBOA</v>
      </c>
    </row>
    <row r="34" customFormat="false" ht="15" hidden="false" customHeight="false" outlineLevel="0" collapsed="false">
      <c r="A34" s="9"/>
      <c r="B34" s="10" t="s">
        <v>48</v>
      </c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" hidden="false" customHeight="false" outlineLevel="0" collapsed="false">
      <c r="A35" s="11" t="n">
        <v>18</v>
      </c>
      <c r="B35" s="12" t="s">
        <v>49</v>
      </c>
      <c r="C35" s="13" t="s">
        <v>50</v>
      </c>
      <c r="D35" s="14" t="n">
        <v>5</v>
      </c>
      <c r="E35" s="15" t="n">
        <v>80900</v>
      </c>
      <c r="F35" s="15"/>
      <c r="G35" s="15"/>
      <c r="H35" s="16" t="n">
        <f aca="false">IF(COUNTIF(E35:G35,"&gt;0")=0,"",_xlfn.MINIFS(E35:G35,E35:G35,"&gt;0"))</f>
        <v>80900</v>
      </c>
      <c r="I35" s="17" t="n">
        <f aca="false">IF(OR(D35="",H35=""),"",D35*H35)</f>
        <v>404500</v>
      </c>
      <c r="J35" s="18" t="str">
        <f aca="false">IF(H35="","",INDEX($E$12:$G$12,MATCH(H35,E35:G35,0)))</f>
        <v>HOMECENTER</v>
      </c>
      <c r="K35" s="19" t="s">
        <v>27</v>
      </c>
    </row>
    <row r="36" customFormat="false" ht="15" hidden="false" customHeight="false" outlineLevel="0" collapsed="false">
      <c r="A36" s="11" t="n">
        <v>19</v>
      </c>
      <c r="B36" s="12" t="s">
        <v>51</v>
      </c>
      <c r="C36" s="13" t="s">
        <v>31</v>
      </c>
      <c r="D36" s="14" t="n">
        <v>5</v>
      </c>
      <c r="E36" s="15" t="n">
        <v>2900</v>
      </c>
      <c r="F36" s="15"/>
      <c r="G36" s="15"/>
      <c r="H36" s="16" t="n">
        <f aca="false">IF(COUNTIF(E36:G36,"&gt;0")=0,"",_xlfn.MINIFS(E36:G36,E36:G36,"&gt;0"))</f>
        <v>2900</v>
      </c>
      <c r="I36" s="17" t="n">
        <f aca="false">IF(OR(D36="",H36=""),"",D36*H36)</f>
        <v>14500</v>
      </c>
      <c r="J36" s="18" t="str">
        <f aca="false">IF(H36="","",INDEX($E$12:$G$12,MATCH(H36,E36:G36,0)))</f>
        <v>HOMECENTER</v>
      </c>
      <c r="K36" s="19" t="s">
        <v>27</v>
      </c>
    </row>
    <row r="37" customFormat="false" ht="15" hidden="false" customHeight="false" outlineLevel="0" collapsed="false">
      <c r="A37" s="11" t="n">
        <v>20</v>
      </c>
      <c r="B37" s="12" t="s">
        <v>52</v>
      </c>
      <c r="C37" s="13" t="s">
        <v>31</v>
      </c>
      <c r="D37" s="14" t="n">
        <v>2</v>
      </c>
      <c r="E37" s="15" t="n">
        <v>5800</v>
      </c>
      <c r="F37" s="15"/>
      <c r="G37" s="15"/>
      <c r="H37" s="16" t="n">
        <f aca="false">IF(COUNTIF(E37:G37,"&gt;0")=0,"",_xlfn.MINIFS(E37:G37,E37:G37,"&gt;0"))</f>
        <v>5800</v>
      </c>
      <c r="I37" s="17" t="n">
        <f aca="false">IF(OR(D37="",H37=""),"",D37*H37)</f>
        <v>11600</v>
      </c>
      <c r="J37" s="18" t="str">
        <f aca="false">IF(H37="","",INDEX($E$12:$G$12,MATCH(H37,E37:G37,0)))</f>
        <v>HOMECENTER</v>
      </c>
      <c r="K37" s="19" t="s">
        <v>27</v>
      </c>
    </row>
    <row r="38" customFormat="false" ht="15" hidden="false" customHeight="false" outlineLevel="0" collapsed="false">
      <c r="A38" s="11" t="n">
        <v>21</v>
      </c>
      <c r="B38" s="12" t="s">
        <v>53</v>
      </c>
      <c r="C38" s="13" t="s">
        <v>31</v>
      </c>
      <c r="D38" s="14" t="n">
        <v>4</v>
      </c>
      <c r="E38" s="15" t="n">
        <v>19900</v>
      </c>
      <c r="F38" s="15"/>
      <c r="G38" s="15"/>
      <c r="H38" s="16" t="n">
        <f aca="false">IF(COUNTIF(E38:G38,"&gt;0")=0,"",_xlfn.MINIFS(E38:G38,E38:G38,"&gt;0"))</f>
        <v>19900</v>
      </c>
      <c r="I38" s="17" t="n">
        <f aca="false">IF(OR(D38="",H38=""),"",D38*H38)</f>
        <v>79600</v>
      </c>
      <c r="J38" s="18" t="str">
        <f aca="false">IF(H38="","",INDEX($E$12:$G$12,MATCH(H38,E38:G38,0)))</f>
        <v>HOMECENTER</v>
      </c>
      <c r="K38" s="19" t="s">
        <v>27</v>
      </c>
    </row>
    <row r="39" customFormat="false" ht="22.35" hidden="false" customHeight="false" outlineLevel="0" collapsed="false">
      <c r="A39" s="11" t="n">
        <v>22</v>
      </c>
      <c r="B39" s="12" t="s">
        <v>54</v>
      </c>
      <c r="C39" s="13" t="s">
        <v>35</v>
      </c>
      <c r="D39" s="14" t="n">
        <v>260</v>
      </c>
      <c r="E39" s="15"/>
      <c r="F39" s="15"/>
      <c r="G39" s="15" t="n">
        <v>6000</v>
      </c>
      <c r="H39" s="16" t="n">
        <f aca="false">IF(COUNTIF(E39:G39,"&gt;0")=0,"",_xlfn.MINIFS(E39:G39,E39:G39,"&gt;0"))</f>
        <v>6000</v>
      </c>
      <c r="I39" s="17" t="n">
        <f aca="false">IF(OR(D39="",H39=""),"",D39*H39)</f>
        <v>1560000</v>
      </c>
      <c r="J39" s="18" t="str">
        <f aca="false">IF(H39="","",INDEX($E$12:$G$12,MATCH(H39,E39:G39,0)))</f>
        <v>TALLER / METALMECÁNICA</v>
      </c>
    </row>
    <row r="40" customFormat="false" ht="22.35" hidden="false" customHeight="false" outlineLevel="0" collapsed="false">
      <c r="A40" s="11" t="n">
        <v>23</v>
      </c>
      <c r="B40" s="12" t="s">
        <v>55</v>
      </c>
      <c r="C40" s="13" t="s">
        <v>31</v>
      </c>
      <c r="D40" s="14" t="n">
        <v>24</v>
      </c>
      <c r="E40" s="15"/>
      <c r="F40" s="15"/>
      <c r="G40" s="15" t="n">
        <v>25000</v>
      </c>
      <c r="H40" s="16" t="n">
        <f aca="false">IF(COUNTIF(E40:G40,"&gt;0")=0,"",_xlfn.MINIFS(E40:G40,E40:G40,"&gt;0"))</f>
        <v>25000</v>
      </c>
      <c r="I40" s="17" t="n">
        <f aca="false">IF(OR(D40="",H40=""),"",D40*H40)</f>
        <v>600000</v>
      </c>
      <c r="J40" s="18" t="str">
        <f aca="false">IF(H40="","",INDEX($E$12:$G$12,MATCH(H40,E40:G40,0)))</f>
        <v>TALLER / METALMECÁNICA</v>
      </c>
    </row>
    <row r="41" customFormat="false" ht="22.35" hidden="false" customHeight="false" outlineLevel="0" collapsed="false">
      <c r="A41" s="11" t="n">
        <v>24</v>
      </c>
      <c r="B41" s="12" t="s">
        <v>56</v>
      </c>
      <c r="C41" s="13" t="s">
        <v>31</v>
      </c>
      <c r="D41" s="14" t="n">
        <v>6</v>
      </c>
      <c r="E41" s="15"/>
      <c r="F41" s="15"/>
      <c r="G41" s="15" t="n">
        <v>150000</v>
      </c>
      <c r="H41" s="16" t="n">
        <f aca="false">IF(COUNTIF(E41:G41,"&gt;0")=0,"",_xlfn.MINIFS(E41:G41,E41:G41,"&gt;0"))</f>
        <v>150000</v>
      </c>
      <c r="I41" s="17" t="n">
        <f aca="false">IF(OR(D41="",H41=""),"",D41*H41)</f>
        <v>900000</v>
      </c>
      <c r="J41" s="18" t="str">
        <f aca="false">IF(H41="","",INDEX($E$12:$G$12,MATCH(H41,E41:G41,0)))</f>
        <v>TALLER / METALMECÁNICA</v>
      </c>
    </row>
    <row r="42" customFormat="false" ht="15" hidden="false" customHeight="false" outlineLevel="0" collapsed="false">
      <c r="A42" s="11" t="n">
        <v>25</v>
      </c>
      <c r="B42" s="12" t="s">
        <v>57</v>
      </c>
      <c r="C42" s="13" t="s">
        <v>35</v>
      </c>
      <c r="D42" s="14" t="n">
        <v>5</v>
      </c>
      <c r="E42" s="15" t="n">
        <v>27900</v>
      </c>
      <c r="F42" s="15"/>
      <c r="G42" s="15"/>
      <c r="H42" s="16" t="n">
        <f aca="false">IF(COUNTIF(E42:G42,"&gt;0")=0,"",_xlfn.MINIFS(E42:G42,E42:G42,"&gt;0"))</f>
        <v>27900</v>
      </c>
      <c r="I42" s="17" t="n">
        <f aca="false">IF(OR(D42="",H42=""),"",D42*H42)</f>
        <v>139500</v>
      </c>
      <c r="J42" s="18" t="str">
        <f aca="false">IF(H42="","",INDEX($E$12:$G$12,MATCH(H42,E42:G42,0)))</f>
        <v>HOMECENTER</v>
      </c>
      <c r="K42" s="19" t="s">
        <v>27</v>
      </c>
    </row>
    <row r="43" customFormat="false" ht="15" hidden="false" customHeight="false" outlineLevel="0" collapsed="false">
      <c r="A43" s="11" t="n">
        <v>26</v>
      </c>
      <c r="B43" s="12" t="s">
        <v>58</v>
      </c>
      <c r="C43" s="13" t="s">
        <v>50</v>
      </c>
      <c r="D43" s="14" t="n">
        <v>2</v>
      </c>
      <c r="E43" s="15" t="n">
        <v>36900</v>
      </c>
      <c r="F43" s="15"/>
      <c r="G43" s="15"/>
      <c r="H43" s="16" t="n">
        <f aca="false">IF(COUNTIF(E43:G43,"&gt;0")=0,"",_xlfn.MINIFS(E43:G43,E43:G43,"&gt;0"))</f>
        <v>36900</v>
      </c>
      <c r="I43" s="17" t="n">
        <f aca="false">IF(OR(D43="",H43=""),"",D43*H43)</f>
        <v>73800</v>
      </c>
      <c r="J43" s="18" t="str">
        <f aca="false">IF(H43="","",INDEX($E$12:$G$12,MATCH(H43,E43:G43,0)))</f>
        <v>HOMECENTER</v>
      </c>
      <c r="K43" s="19" t="s">
        <v>27</v>
      </c>
    </row>
    <row r="44" customFormat="false" ht="15" hidden="false" customHeight="false" outlineLevel="0" collapsed="false">
      <c r="A44" s="9"/>
      <c r="B44" s="10" t="s">
        <v>59</v>
      </c>
      <c r="C44" s="9"/>
      <c r="D44" s="9"/>
      <c r="E44" s="9"/>
      <c r="F44" s="9"/>
      <c r="G44" s="9"/>
      <c r="H44" s="9"/>
      <c r="I44" s="9"/>
      <c r="J44" s="9"/>
      <c r="K44" s="9"/>
    </row>
    <row r="45" customFormat="false" ht="15" hidden="false" customHeight="false" outlineLevel="0" collapsed="false">
      <c r="A45" s="11" t="n">
        <v>27</v>
      </c>
      <c r="B45" s="12" t="s">
        <v>60</v>
      </c>
      <c r="C45" s="13" t="s">
        <v>31</v>
      </c>
      <c r="D45" s="14" t="n">
        <v>4</v>
      </c>
      <c r="E45" s="15" t="n">
        <v>469900</v>
      </c>
      <c r="F45" s="15"/>
      <c r="G45" s="15"/>
      <c r="H45" s="16" t="n">
        <f aca="false">IF(COUNTIF(E45:G45,"&gt;0")=0,"",_xlfn.MINIFS(E45:G45,E45:G45,"&gt;0"))</f>
        <v>469900</v>
      </c>
      <c r="I45" s="17" t="n">
        <f aca="false">IF(OR(D45="",H45=""),"",D45*H45)</f>
        <v>1879600</v>
      </c>
      <c r="J45" s="18" t="str">
        <f aca="false">IF(H45="","",INDEX($E$12:$G$12,MATCH(H45,E45:G45,0)))</f>
        <v>HOMECENTER</v>
      </c>
      <c r="K45" s="19" t="s">
        <v>27</v>
      </c>
    </row>
    <row r="46" customFormat="false" ht="15" hidden="false" customHeight="false" outlineLevel="0" collapsed="false">
      <c r="A46" s="11" t="n">
        <v>28</v>
      </c>
      <c r="B46" s="12" t="s">
        <v>61</v>
      </c>
      <c r="C46" s="13" t="s">
        <v>31</v>
      </c>
      <c r="D46" s="14" t="n">
        <v>5</v>
      </c>
      <c r="E46" s="15" t="n">
        <v>40400</v>
      </c>
      <c r="F46" s="15"/>
      <c r="G46" s="15"/>
      <c r="H46" s="16" t="n">
        <f aca="false">IF(COUNTIF(E46:G46,"&gt;0")=0,"",_xlfn.MINIFS(E46:G46,E46:G46,"&gt;0"))</f>
        <v>40400</v>
      </c>
      <c r="I46" s="17" t="n">
        <f aca="false">IF(OR(D46="",H46=""),"",D46*H46)</f>
        <v>202000</v>
      </c>
      <c r="J46" s="18" t="str">
        <f aca="false">IF(H46="","",INDEX($E$12:$G$12,MATCH(H46,E46:G46,0)))</f>
        <v>HOMECENTER</v>
      </c>
      <c r="K46" s="19" t="s">
        <v>27</v>
      </c>
    </row>
    <row r="47" customFormat="false" ht="15" hidden="false" customHeight="false" outlineLevel="0" collapsed="false">
      <c r="A47" s="11" t="n">
        <v>29</v>
      </c>
      <c r="B47" s="12" t="s">
        <v>62</v>
      </c>
      <c r="C47" s="13" t="s">
        <v>31</v>
      </c>
      <c r="D47" s="14" t="n">
        <v>10</v>
      </c>
      <c r="E47" s="15" t="n">
        <v>21992</v>
      </c>
      <c r="F47" s="15"/>
      <c r="G47" s="15"/>
      <c r="H47" s="16" t="n">
        <f aca="false">IF(COUNTIF(E47:G47,"&gt;0")=0,"",_xlfn.MINIFS(E47:G47,E47:G47,"&gt;0"))</f>
        <v>21992</v>
      </c>
      <c r="I47" s="17" t="n">
        <f aca="false">IF(OR(D47="",H47=""),"",D47*H47)</f>
        <v>219920</v>
      </c>
      <c r="J47" s="18" t="str">
        <f aca="false">IF(H47="","",INDEX($E$12:$G$12,MATCH(H47,E47:G47,0)))</f>
        <v>HOMECENTER</v>
      </c>
      <c r="K47" s="19" t="s">
        <v>27</v>
      </c>
    </row>
    <row r="48" customFormat="false" ht="15" hidden="false" customHeight="false" outlineLevel="0" collapsed="false">
      <c r="A48" s="11" t="n">
        <v>30</v>
      </c>
      <c r="B48" s="12" t="s">
        <v>63</v>
      </c>
      <c r="C48" s="13" t="s">
        <v>31</v>
      </c>
      <c r="D48" s="14" t="n">
        <v>150</v>
      </c>
      <c r="E48" s="15" t="n">
        <v>479</v>
      </c>
      <c r="F48" s="15"/>
      <c r="G48" s="15"/>
      <c r="H48" s="16" t="n">
        <f aca="false">IF(COUNTIF(E48:G48,"&gt;0")=0,"",_xlfn.MINIFS(E48:G48,E48:G48,"&gt;0"))</f>
        <v>479</v>
      </c>
      <c r="I48" s="17" t="n">
        <f aca="false">IF(OR(D48="",H48=""),"",D48*H48)</f>
        <v>71850</v>
      </c>
      <c r="J48" s="18" t="str">
        <f aca="false">IF(H48="","",INDEX($E$12:$G$12,MATCH(H48,E48:G48,0)))</f>
        <v>HOMECENTER</v>
      </c>
      <c r="K48" s="19" t="s">
        <v>27</v>
      </c>
    </row>
    <row r="49" customFormat="false" ht="15" hidden="false" customHeight="false" outlineLevel="0" collapsed="false">
      <c r="A49" s="11" t="n">
        <v>31</v>
      </c>
      <c r="B49" s="12" t="s">
        <v>64</v>
      </c>
      <c r="C49" s="13" t="s">
        <v>31</v>
      </c>
      <c r="D49" s="14" t="n">
        <v>350</v>
      </c>
      <c r="E49" s="15" t="n">
        <v>879</v>
      </c>
      <c r="F49" s="15"/>
      <c r="G49" s="15"/>
      <c r="H49" s="16" t="n">
        <f aca="false">IF(COUNTIF(E49:G49,"&gt;0")=0,"",_xlfn.MINIFS(E49:G49,E49:G49,"&gt;0"))</f>
        <v>879</v>
      </c>
      <c r="I49" s="17" t="n">
        <f aca="false">IF(OR(D49="",H49=""),"",D49*H49)</f>
        <v>307650</v>
      </c>
      <c r="J49" s="18" t="str">
        <f aca="false">IF(H49="","",INDEX($E$12:$G$12,MATCH(H49,E49:G49,0)))</f>
        <v>HOMECENTER</v>
      </c>
      <c r="K49" s="19" t="s">
        <v>27</v>
      </c>
    </row>
    <row r="50" customFormat="false" ht="15" hidden="false" customHeight="false" outlineLevel="0" collapsed="false">
      <c r="A50" s="11" t="n">
        <v>32</v>
      </c>
      <c r="B50" s="12" t="s">
        <v>65</v>
      </c>
      <c r="C50" s="13" t="s">
        <v>31</v>
      </c>
      <c r="D50" s="14" t="n">
        <v>100</v>
      </c>
      <c r="E50" s="15" t="n">
        <v>479</v>
      </c>
      <c r="F50" s="15"/>
      <c r="G50" s="15"/>
      <c r="H50" s="16" t="n">
        <f aca="false">IF(COUNTIF(E50:G50,"&gt;0")=0,"",_xlfn.MINIFS(E50:G50,E50:G50,"&gt;0"))</f>
        <v>479</v>
      </c>
      <c r="I50" s="17" t="n">
        <f aca="false">IF(OR(D50="",H50=""),"",D50*H50)</f>
        <v>47900</v>
      </c>
      <c r="J50" s="18" t="str">
        <f aca="false">IF(H50="","",INDEX($E$12:$G$12,MATCH(H50,E50:G50,0)))</f>
        <v>HOMECENTER</v>
      </c>
      <c r="K50" s="19" t="s">
        <v>27</v>
      </c>
    </row>
    <row r="51" customFormat="false" ht="22.35" hidden="false" customHeight="false" outlineLevel="0" collapsed="false">
      <c r="A51" s="11" t="n">
        <v>33</v>
      </c>
      <c r="B51" s="12" t="s">
        <v>66</v>
      </c>
      <c r="C51" s="13" t="s">
        <v>67</v>
      </c>
      <c r="D51" s="14" t="n">
        <v>16</v>
      </c>
      <c r="E51" s="15"/>
      <c r="F51" s="15"/>
      <c r="G51" s="15" t="n">
        <v>95000</v>
      </c>
      <c r="H51" s="16" t="n">
        <f aca="false">IF(COUNTIF(E51:G51,"&gt;0")=0,"",_xlfn.MINIFS(E51:G51,E51:G51,"&gt;0"))</f>
        <v>95000</v>
      </c>
      <c r="I51" s="17" t="n">
        <f aca="false">IF(OR(D51="",H51=""),"",D51*H51)</f>
        <v>1520000</v>
      </c>
      <c r="J51" s="18" t="str">
        <f aca="false">IF(H51="","",INDEX($E$12:$G$12,MATCH(H51,E51:G51,0)))</f>
        <v>TALLER / METALMECÁNICA</v>
      </c>
    </row>
    <row r="52" customFormat="false" ht="22.35" hidden="false" customHeight="false" outlineLevel="0" collapsed="false">
      <c r="A52" s="11" t="n">
        <v>34</v>
      </c>
      <c r="B52" s="12" t="s">
        <v>68</v>
      </c>
      <c r="C52" s="13" t="s">
        <v>69</v>
      </c>
      <c r="D52" s="14" t="n">
        <v>2</v>
      </c>
      <c r="E52" s="15"/>
      <c r="F52" s="15"/>
      <c r="G52" s="15" t="n">
        <v>15000</v>
      </c>
      <c r="H52" s="16" t="n">
        <f aca="false">IF(COUNTIF(E52:G52,"&gt;0")=0,"",_xlfn.MINIFS(E52:G52,E52:G52,"&gt;0"))</f>
        <v>15000</v>
      </c>
      <c r="I52" s="17" t="n">
        <f aca="false">IF(OR(D52="",H52=""),"",D52*H52)</f>
        <v>30000</v>
      </c>
      <c r="J52" s="18" t="str">
        <f aca="false">IF(H52="","",INDEX($E$12:$G$12,MATCH(H52,E52:G52,0)))</f>
        <v>TALLER / METALMECÁNICA</v>
      </c>
    </row>
    <row r="53" customFormat="false" ht="22.35" hidden="false" customHeight="false" outlineLevel="0" collapsed="false">
      <c r="A53" s="11" t="n">
        <v>35</v>
      </c>
      <c r="B53" s="12" t="s">
        <v>70</v>
      </c>
      <c r="C53" s="13" t="s">
        <v>31</v>
      </c>
      <c r="D53" s="14" t="n">
        <v>28</v>
      </c>
      <c r="E53" s="15"/>
      <c r="F53" s="15"/>
      <c r="G53" s="15" t="n">
        <v>3500</v>
      </c>
      <c r="H53" s="16" t="n">
        <f aca="false">IF(COUNTIF(E53:G53,"&gt;0")=0,"",_xlfn.MINIFS(E53:G53,E53:G53,"&gt;0"))</f>
        <v>3500</v>
      </c>
      <c r="I53" s="17" t="n">
        <f aca="false">IF(OR(D53="",H53=""),"",D53*H53)</f>
        <v>98000</v>
      </c>
      <c r="J53" s="18" t="str">
        <f aca="false">IF(H53="","",INDEX($E$12:$G$12,MATCH(H53,E53:G53,0)))</f>
        <v>TALLER / METALMECÁNICA</v>
      </c>
    </row>
    <row r="54" customFormat="false" ht="15" hidden="false" customHeight="false" outlineLevel="0" collapsed="false">
      <c r="A54" s="11" t="n">
        <v>36</v>
      </c>
      <c r="B54" s="12" t="s">
        <v>71</v>
      </c>
      <c r="C54" s="13" t="s">
        <v>72</v>
      </c>
      <c r="D54" s="14" t="n">
        <v>63</v>
      </c>
      <c r="E54" s="15" t="n">
        <v>28398</v>
      </c>
      <c r="F54" s="15"/>
      <c r="G54" s="15"/>
      <c r="H54" s="16" t="n">
        <f aca="false">IF(COUNTIF(E54:G54,"&gt;0")=0,"",_xlfn.MINIFS(E54:G54,E54:G54,"&gt;0"))</f>
        <v>28398</v>
      </c>
      <c r="I54" s="17" t="n">
        <f aca="false">IF(OR(D54="",H54=""),"",D54*H54)</f>
        <v>1789074</v>
      </c>
      <c r="J54" s="18" t="str">
        <f aca="false">IF(H54="","",INDEX($E$12:$G$12,MATCH(H54,E54:G54,0)))</f>
        <v>HOMECENTER</v>
      </c>
      <c r="K54" s="19" t="s">
        <v>27</v>
      </c>
    </row>
    <row r="55" customFormat="false" ht="15" hidden="false" customHeight="false" outlineLevel="0" collapsed="false">
      <c r="A55" s="11" t="n">
        <v>37</v>
      </c>
      <c r="B55" s="12" t="s">
        <v>73</v>
      </c>
      <c r="C55" s="13" t="s">
        <v>31</v>
      </c>
      <c r="D55" s="14" t="n">
        <v>15</v>
      </c>
      <c r="E55" s="15" t="n">
        <v>36100</v>
      </c>
      <c r="F55" s="15"/>
      <c r="G55" s="15"/>
      <c r="H55" s="16" t="n">
        <f aca="false">IF(COUNTIF(E55:G55,"&gt;0")=0,"",_xlfn.MINIFS(E55:G55,E55:G55,"&gt;0"))</f>
        <v>36100</v>
      </c>
      <c r="I55" s="17" t="n">
        <f aca="false">IF(OR(D55="",H55=""),"",D55*H55)</f>
        <v>541500</v>
      </c>
      <c r="J55" s="18" t="str">
        <f aca="false">IF(H55="","",INDEX($E$12:$G$12,MATCH(H55,E55:G55,0)))</f>
        <v>HOMECENTER</v>
      </c>
      <c r="K55" s="19" t="s">
        <v>27</v>
      </c>
    </row>
    <row r="56" customFormat="false" ht="15" hidden="false" customHeight="false" outlineLevel="0" collapsed="false">
      <c r="A56" s="11" t="n">
        <v>38</v>
      </c>
      <c r="B56" s="12" t="s">
        <v>74</v>
      </c>
      <c r="C56" s="13" t="s">
        <v>31</v>
      </c>
      <c r="D56" s="14" t="n">
        <v>40</v>
      </c>
      <c r="E56" s="15" t="n">
        <v>159</v>
      </c>
      <c r="F56" s="15"/>
      <c r="G56" s="15"/>
      <c r="H56" s="16" t="n">
        <f aca="false">IF(COUNTIF(E56:G56,"&gt;0")=0,"",_xlfn.MINIFS(E56:G56,E56:G56,"&gt;0"))</f>
        <v>159</v>
      </c>
      <c r="I56" s="17" t="n">
        <f aca="false">IF(OR(D56="",H56=""),"",D56*H56)</f>
        <v>6360</v>
      </c>
      <c r="J56" s="18" t="str">
        <f aca="false">IF(H56="","",INDEX($E$12:$G$12,MATCH(H56,E56:G56,0)))</f>
        <v>HOMECENTER</v>
      </c>
      <c r="K56" s="19" t="s">
        <v>27</v>
      </c>
    </row>
    <row r="57" customFormat="false" ht="15" hidden="false" customHeight="false" outlineLevel="0" collapsed="false">
      <c r="A57" s="9"/>
      <c r="B57" s="10" t="s">
        <v>75</v>
      </c>
      <c r="C57" s="9"/>
      <c r="D57" s="9"/>
      <c r="E57" s="9"/>
      <c r="F57" s="9"/>
      <c r="G57" s="9"/>
      <c r="H57" s="9"/>
      <c r="I57" s="9"/>
      <c r="J57" s="9"/>
      <c r="K57" s="9"/>
    </row>
    <row r="58" customFormat="false" ht="15" hidden="false" customHeight="false" outlineLevel="0" collapsed="false">
      <c r="A58" s="11" t="n">
        <v>39</v>
      </c>
      <c r="B58" s="12" t="s">
        <v>76</v>
      </c>
      <c r="C58" s="13" t="s">
        <v>31</v>
      </c>
      <c r="D58" s="14" t="n">
        <v>2</v>
      </c>
      <c r="E58" s="15" t="n">
        <v>108900</v>
      </c>
      <c r="F58" s="15"/>
      <c r="G58" s="15"/>
      <c r="H58" s="16" t="n">
        <f aca="false">IF(COUNTIF(E58:G58,"&gt;0")=0,"",_xlfn.MINIFS(E58:G58,E58:G58,"&gt;0"))</f>
        <v>108900</v>
      </c>
      <c r="I58" s="17" t="n">
        <f aca="false">IF(OR(D58="",H58=""),"",D58*H58)</f>
        <v>217800</v>
      </c>
      <c r="J58" s="18" t="str">
        <f aca="false">IF(H58="","",INDEX($E$12:$G$12,MATCH(H58,E58:G58,0)))</f>
        <v>HOMECENTER</v>
      </c>
      <c r="K58" s="19" t="s">
        <v>27</v>
      </c>
    </row>
    <row r="59" customFormat="false" ht="15" hidden="false" customHeight="false" outlineLevel="0" collapsed="false">
      <c r="A59" s="11" t="n">
        <v>40</v>
      </c>
      <c r="B59" s="12" t="s">
        <v>77</v>
      </c>
      <c r="C59" s="13" t="s">
        <v>31</v>
      </c>
      <c r="D59" s="14" t="n">
        <v>1</v>
      </c>
      <c r="E59" s="15" t="n">
        <v>21900</v>
      </c>
      <c r="F59" s="15"/>
      <c r="G59" s="15"/>
      <c r="H59" s="16" t="n">
        <f aca="false">IF(COUNTIF(E59:G59,"&gt;0")=0,"",_xlfn.MINIFS(E59:G59,E59:G59,"&gt;0"))</f>
        <v>21900</v>
      </c>
      <c r="I59" s="17" t="n">
        <f aca="false">IF(OR(D59="",H59=""),"",D59*H59)</f>
        <v>21900</v>
      </c>
      <c r="J59" s="18" t="str">
        <f aca="false">IF(H59="","",INDEX($E$12:$G$12,MATCH(H59,E59:G59,0)))</f>
        <v>HOMECENTER</v>
      </c>
      <c r="K59" s="19" t="s">
        <v>27</v>
      </c>
    </row>
    <row r="60" customFormat="false" ht="15" hidden="false" customHeight="false" outlineLevel="0" collapsed="false">
      <c r="A60" s="11" t="n">
        <v>41</v>
      </c>
      <c r="B60" s="12" t="s">
        <v>78</v>
      </c>
      <c r="C60" s="13" t="s">
        <v>31</v>
      </c>
      <c r="D60" s="14" t="n">
        <v>2</v>
      </c>
      <c r="E60" s="15" t="n">
        <v>9900</v>
      </c>
      <c r="F60" s="15"/>
      <c r="G60" s="15"/>
      <c r="H60" s="16" t="n">
        <f aca="false">IF(COUNTIF(E60:G60,"&gt;0")=0,"",_xlfn.MINIFS(E60:G60,E60:G60,"&gt;0"))</f>
        <v>9900</v>
      </c>
      <c r="I60" s="17" t="n">
        <f aca="false">IF(OR(D60="",H60=""),"",D60*H60)</f>
        <v>19800</v>
      </c>
      <c r="J60" s="18" t="str">
        <f aca="false">IF(H60="","",INDEX($E$12:$G$12,MATCH(H60,E60:G60,0)))</f>
        <v>HOMECENTER</v>
      </c>
      <c r="K60" s="19" t="s">
        <v>27</v>
      </c>
    </row>
    <row r="61" customFormat="false" ht="15" hidden="false" customHeight="false" outlineLevel="0" collapsed="false">
      <c r="A61" s="11" t="n">
        <v>42</v>
      </c>
      <c r="B61" s="12" t="s">
        <v>79</v>
      </c>
      <c r="C61" s="13" t="s">
        <v>67</v>
      </c>
      <c r="D61" s="14" t="n">
        <v>10</v>
      </c>
      <c r="E61" s="15" t="n">
        <v>756</v>
      </c>
      <c r="F61" s="15"/>
      <c r="G61" s="15"/>
      <c r="H61" s="16" t="n">
        <f aca="false">IF(COUNTIF(E61:G61,"&gt;0")=0,"",_xlfn.MINIFS(E61:G61,E61:G61,"&gt;0"))</f>
        <v>756</v>
      </c>
      <c r="I61" s="17" t="n">
        <f aca="false">IF(OR(D61="",H61=""),"",D61*H61)</f>
        <v>7560</v>
      </c>
      <c r="J61" s="18" t="str">
        <f aca="false">IF(H61="","",INDEX($E$12:$G$12,MATCH(H61,E61:G61,0)))</f>
        <v>HOMECENTER</v>
      </c>
      <c r="K61" s="19" t="s">
        <v>27</v>
      </c>
    </row>
    <row r="62" customFormat="false" ht="15" hidden="false" customHeight="false" outlineLevel="0" collapsed="false">
      <c r="A62" s="11" t="n">
        <v>43</v>
      </c>
      <c r="B62" s="12" t="s">
        <v>80</v>
      </c>
      <c r="C62" s="13" t="s">
        <v>31</v>
      </c>
      <c r="D62" s="14" t="n">
        <v>1</v>
      </c>
      <c r="E62" s="15" t="n">
        <v>250000</v>
      </c>
      <c r="F62" s="15"/>
      <c r="G62" s="15"/>
      <c r="H62" s="16" t="n">
        <f aca="false">IF(COUNTIF(E62:G62,"&gt;0")=0,"",_xlfn.MINIFS(E62:G62,E62:G62,"&gt;0"))</f>
        <v>250000</v>
      </c>
      <c r="I62" s="17" t="n">
        <f aca="false">IF(OR(D62="",H62=""),"",D62*H62)</f>
        <v>250000</v>
      </c>
      <c r="J62" s="18" t="str">
        <f aca="false">IF(H62="","",INDEX($E$12:$G$12,MATCH(H62,E62:G62,0)))</f>
        <v>HOMECENTER</v>
      </c>
    </row>
    <row r="63" customFormat="false" ht="15" hidden="false" customHeight="false" outlineLevel="0" collapsed="false">
      <c r="A63" s="11" t="n">
        <v>44</v>
      </c>
      <c r="B63" s="12" t="s">
        <v>81</v>
      </c>
      <c r="C63" s="13" t="s">
        <v>82</v>
      </c>
      <c r="D63" s="14" t="n">
        <v>3</v>
      </c>
      <c r="E63" s="15" t="n">
        <v>186900</v>
      </c>
      <c r="F63" s="15"/>
      <c r="G63" s="15"/>
      <c r="H63" s="16" t="n">
        <f aca="false">IF(COUNTIF(E63:G63,"&gt;0")=0,"",_xlfn.MINIFS(E63:G63,E63:G63,"&gt;0"))</f>
        <v>186900</v>
      </c>
      <c r="I63" s="17" t="n">
        <f aca="false">IF(OR(D63="",H63=""),"",D63*H63)</f>
        <v>560700</v>
      </c>
      <c r="J63" s="18" t="str">
        <f aca="false">IF(H63="","",INDEX($E$12:$G$12,MATCH(H63,E63:G63,0)))</f>
        <v>HOMECENTER</v>
      </c>
      <c r="K63" s="19" t="s">
        <v>27</v>
      </c>
    </row>
    <row r="64" customFormat="false" ht="15" hidden="false" customHeight="false" outlineLevel="0" collapsed="false">
      <c r="A64" s="11" t="n">
        <v>45</v>
      </c>
      <c r="B64" s="12" t="s">
        <v>83</v>
      </c>
      <c r="C64" s="13" t="s">
        <v>82</v>
      </c>
      <c r="D64" s="14" t="n">
        <v>2</v>
      </c>
      <c r="E64" s="15" t="n">
        <v>179900</v>
      </c>
      <c r="F64" s="15"/>
      <c r="G64" s="15"/>
      <c r="H64" s="16" t="n">
        <f aca="false">IF(COUNTIF(E64:G64,"&gt;0")=0,"",_xlfn.MINIFS(E64:G64,E64:G64,"&gt;0"))</f>
        <v>179900</v>
      </c>
      <c r="I64" s="17" t="n">
        <f aca="false">IF(OR(D64="",H64=""),"",D64*H64)</f>
        <v>359800</v>
      </c>
      <c r="J64" s="18" t="str">
        <f aca="false">IF(H64="","",INDEX($E$12:$G$12,MATCH(H64,E64:G64,0)))</f>
        <v>HOMECENTER</v>
      </c>
      <c r="K64" s="19" t="s">
        <v>27</v>
      </c>
    </row>
    <row r="65" customFormat="false" ht="15" hidden="false" customHeight="false" outlineLevel="0" collapsed="false">
      <c r="A65" s="11" t="n">
        <v>46</v>
      </c>
      <c r="B65" s="12" t="s">
        <v>84</v>
      </c>
      <c r="C65" s="13" t="s">
        <v>31</v>
      </c>
      <c r="D65" s="14" t="n">
        <v>20</v>
      </c>
      <c r="E65" s="15" t="n">
        <v>58900</v>
      </c>
      <c r="F65" s="15"/>
      <c r="G65" s="15"/>
      <c r="H65" s="16" t="n">
        <f aca="false">IF(COUNTIF(E65:G65,"&gt;0")=0,"",_xlfn.MINIFS(E65:G65,E65:G65,"&gt;0"))</f>
        <v>58900</v>
      </c>
      <c r="I65" s="17" t="n">
        <f aca="false">IF(OR(D65="",H65=""),"",D65*H65)</f>
        <v>1178000</v>
      </c>
      <c r="J65" s="18" t="str">
        <f aca="false">IF(H65="","",INDEX($E$12:$G$12,MATCH(H65,E65:G65,0)))</f>
        <v>HOMECENTER</v>
      </c>
      <c r="K65" s="19" t="s">
        <v>27</v>
      </c>
    </row>
    <row r="66" customFormat="false" ht="15" hidden="false" customHeight="false" outlineLevel="0" collapsed="false">
      <c r="A66" s="11" t="n">
        <v>47</v>
      </c>
      <c r="B66" s="12" t="s">
        <v>85</v>
      </c>
      <c r="C66" s="13" t="s">
        <v>31</v>
      </c>
      <c r="D66" s="14" t="n">
        <v>2000</v>
      </c>
      <c r="E66" s="15" t="n">
        <v>37</v>
      </c>
      <c r="F66" s="15"/>
      <c r="G66" s="15"/>
      <c r="H66" s="16" t="n">
        <f aca="false">IF(COUNTIF(E66:G66,"&gt;0")=0,"",_xlfn.MINIFS(E66:G66,E66:G66,"&gt;0"))</f>
        <v>37</v>
      </c>
      <c r="I66" s="17" t="n">
        <f aca="false">IF(OR(D66="",H66=""),"",D66*H66)</f>
        <v>74000</v>
      </c>
      <c r="J66" s="18" t="str">
        <f aca="false">IF(H66="","",INDEX($E$12:$G$12,MATCH(H66,E66:G66,0)))</f>
        <v>HOMECENTER</v>
      </c>
      <c r="K66" s="19" t="s">
        <v>27</v>
      </c>
    </row>
    <row r="67" customFormat="false" ht="15" hidden="false" customHeight="false" outlineLevel="0" collapsed="false">
      <c r="A67" s="9"/>
      <c r="B67" s="10" t="s">
        <v>86</v>
      </c>
      <c r="C67" s="9"/>
      <c r="D67" s="9"/>
      <c r="E67" s="9"/>
      <c r="F67" s="9"/>
      <c r="G67" s="9"/>
      <c r="H67" s="9"/>
      <c r="I67" s="9"/>
      <c r="J67" s="9"/>
      <c r="K67" s="9"/>
    </row>
    <row r="68" customFormat="false" ht="15" hidden="false" customHeight="false" outlineLevel="0" collapsed="false">
      <c r="A68" s="11" t="n">
        <v>48</v>
      </c>
      <c r="B68" s="12" t="s">
        <v>87</v>
      </c>
      <c r="C68" s="13" t="s">
        <v>88</v>
      </c>
      <c r="D68" s="14" t="n">
        <v>3</v>
      </c>
      <c r="E68" s="15" t="n">
        <v>152900</v>
      </c>
      <c r="F68" s="15"/>
      <c r="G68" s="15"/>
      <c r="H68" s="16" t="n">
        <f aca="false">IF(COUNTIF(E68:G68,"&gt;0")=0,"",_xlfn.MINIFS(E68:G68,E68:G68,"&gt;0"))</f>
        <v>152900</v>
      </c>
      <c r="I68" s="17" t="n">
        <f aca="false">IF(OR(D68="",H68=""),"",D68*H68)</f>
        <v>458700</v>
      </c>
      <c r="J68" s="18" t="str">
        <f aca="false">IF(H68="","",INDEX($E$12:$G$12,MATCH(H68,E68:G68,0)))</f>
        <v>HOMECENTER</v>
      </c>
      <c r="K68" s="19" t="s">
        <v>27</v>
      </c>
    </row>
    <row r="69" customFormat="false" ht="15" hidden="false" customHeight="false" outlineLevel="0" collapsed="false">
      <c r="A69" s="11" t="n">
        <v>49</v>
      </c>
      <c r="B69" s="12" t="s">
        <v>89</v>
      </c>
      <c r="C69" s="13" t="s">
        <v>31</v>
      </c>
      <c r="D69" s="14" t="n">
        <v>11</v>
      </c>
      <c r="E69" s="15" t="n">
        <v>9600</v>
      </c>
      <c r="F69" s="15"/>
      <c r="G69" s="15"/>
      <c r="H69" s="16" t="n">
        <f aca="false">IF(COUNTIF(E69:G69,"&gt;0")=0,"",_xlfn.MINIFS(E69:G69,E69:G69,"&gt;0"))</f>
        <v>9600</v>
      </c>
      <c r="I69" s="17" t="n">
        <f aca="false">IF(OR(D69="",H69=""),"",D69*H69)</f>
        <v>105600</v>
      </c>
      <c r="J69" s="18" t="str">
        <f aca="false">IF(H69="","",INDEX($E$12:$G$12,MATCH(H69,E69:G69,0)))</f>
        <v>HOMECENTER</v>
      </c>
      <c r="K69" s="19" t="s">
        <v>27</v>
      </c>
    </row>
    <row r="70" customFormat="false" ht="15" hidden="false" customHeight="false" outlineLevel="0" collapsed="false">
      <c r="A70" s="11" t="n">
        <v>50</v>
      </c>
      <c r="B70" s="12" t="s">
        <v>90</v>
      </c>
      <c r="C70" s="13" t="s">
        <v>91</v>
      </c>
      <c r="D70" s="14" t="n">
        <v>2</v>
      </c>
      <c r="E70" s="15" t="n">
        <v>6900</v>
      </c>
      <c r="F70" s="15"/>
      <c r="G70" s="15"/>
      <c r="H70" s="16" t="n">
        <f aca="false">IF(COUNTIF(E70:G70,"&gt;0")=0,"",_xlfn.MINIFS(E70:G70,E70:G70,"&gt;0"))</f>
        <v>6900</v>
      </c>
      <c r="I70" s="17" t="n">
        <f aca="false">IF(OR(D70="",H70=""),"",D70*H70)</f>
        <v>13800</v>
      </c>
      <c r="J70" s="18" t="str">
        <f aca="false">IF(H70="","",INDEX($E$12:$G$12,MATCH(H70,E70:G70,0)))</f>
        <v>HOMECENTER</v>
      </c>
      <c r="K70" s="19" t="s">
        <v>27</v>
      </c>
    </row>
    <row r="71" customFormat="false" ht="15" hidden="false" customHeight="false" outlineLevel="0" collapsed="false">
      <c r="A71" s="11" t="n">
        <v>51</v>
      </c>
      <c r="B71" s="12" t="s">
        <v>92</v>
      </c>
      <c r="C71" s="13" t="s">
        <v>93</v>
      </c>
      <c r="D71" s="14" t="n">
        <v>1</v>
      </c>
      <c r="E71" s="15" t="n">
        <v>315900</v>
      </c>
      <c r="F71" s="15"/>
      <c r="G71" s="15"/>
      <c r="H71" s="16" t="n">
        <f aca="false">IF(COUNTIF(E71:G71,"&gt;0")=0,"",_xlfn.MINIFS(E71:G71,E71:G71,"&gt;0"))</f>
        <v>315900</v>
      </c>
      <c r="I71" s="17" t="n">
        <f aca="false">IF(OR(D71="",H71=""),"",D71*H71)</f>
        <v>315900</v>
      </c>
      <c r="J71" s="18" t="str">
        <f aca="false">IF(H71="","",INDEX($E$12:$G$12,MATCH(H71,E71:G71,0)))</f>
        <v>HOMECENTER</v>
      </c>
      <c r="K71" s="19" t="s">
        <v>27</v>
      </c>
    </row>
    <row r="72" customFormat="false" ht="15" hidden="false" customHeight="false" outlineLevel="0" collapsed="false">
      <c r="A72" s="11" t="n">
        <v>52</v>
      </c>
      <c r="B72" s="12" t="s">
        <v>94</v>
      </c>
      <c r="C72" s="13" t="s">
        <v>31</v>
      </c>
      <c r="D72" s="14" t="n">
        <v>30</v>
      </c>
      <c r="E72" s="15" t="n">
        <v>25500</v>
      </c>
      <c r="F72" s="15"/>
      <c r="G72" s="15"/>
      <c r="H72" s="16" t="n">
        <f aca="false">IF(COUNTIF(E72:G72,"&gt;0")=0,"",_xlfn.MINIFS(E72:G72,E72:G72,"&gt;0"))</f>
        <v>25500</v>
      </c>
      <c r="I72" s="17" t="n">
        <f aca="false">IF(OR(D72="",H72=""),"",D72*H72)</f>
        <v>765000</v>
      </c>
      <c r="J72" s="18" t="str">
        <f aca="false">IF(H72="","",INDEX($E$12:$G$12,MATCH(H72,E72:G72,0)))</f>
        <v>HOMECENTER</v>
      </c>
      <c r="K72" s="19" t="s">
        <v>27</v>
      </c>
    </row>
    <row r="73" customFormat="false" ht="15" hidden="false" customHeight="false" outlineLevel="0" collapsed="false">
      <c r="A73" s="11" t="n">
        <v>53</v>
      </c>
      <c r="B73" s="12" t="s">
        <v>95</v>
      </c>
      <c r="C73" s="13" t="s">
        <v>31</v>
      </c>
      <c r="D73" s="14" t="n">
        <v>28</v>
      </c>
      <c r="E73" s="15" t="n">
        <v>83900</v>
      </c>
      <c r="F73" s="15"/>
      <c r="G73" s="15"/>
      <c r="H73" s="16" t="n">
        <f aca="false">IF(COUNTIF(E73:G73,"&gt;0")=0,"",_xlfn.MINIFS(E73:G73,E73:G73,"&gt;0"))</f>
        <v>83900</v>
      </c>
      <c r="I73" s="17" t="n">
        <f aca="false">IF(OR(D73="",H73=""),"",D73*H73)</f>
        <v>2349200</v>
      </c>
      <c r="J73" s="18" t="str">
        <f aca="false">IF(H73="","",INDEX($E$12:$G$12,MATCH(H73,E73:G73,0)))</f>
        <v>HOMECENTER</v>
      </c>
      <c r="K73" s="19" t="s">
        <v>27</v>
      </c>
    </row>
    <row r="74" customFormat="false" ht="15" hidden="false" customHeight="false" outlineLevel="0" collapsed="false">
      <c r="A74" s="11" t="n">
        <v>54</v>
      </c>
      <c r="B74" s="12" t="s">
        <v>96</v>
      </c>
      <c r="C74" s="13" t="s">
        <v>31</v>
      </c>
      <c r="D74" s="14" t="n">
        <v>300</v>
      </c>
      <c r="E74" s="15" t="n">
        <v>30</v>
      </c>
      <c r="F74" s="15"/>
      <c r="G74" s="15"/>
      <c r="H74" s="16" t="n">
        <f aca="false">IF(COUNTIF(E74:G74,"&gt;0")=0,"",_xlfn.MINIFS(E74:G74,E74:G74,"&gt;0"))</f>
        <v>30</v>
      </c>
      <c r="I74" s="17" t="n">
        <f aca="false">IF(OR(D74="",H74=""),"",D74*H74)</f>
        <v>9000</v>
      </c>
      <c r="J74" s="18" t="str">
        <f aca="false">IF(H74="","",INDEX($E$12:$G$12,MATCH(H74,E74:G74,0)))</f>
        <v>HOMECENTER</v>
      </c>
      <c r="K74" s="19" t="s">
        <v>27</v>
      </c>
    </row>
    <row r="75" customFormat="false" ht="15" hidden="false" customHeight="false" outlineLevel="0" collapsed="false">
      <c r="A75" s="11" t="n">
        <v>55</v>
      </c>
      <c r="B75" s="12" t="s">
        <v>97</v>
      </c>
      <c r="C75" s="13" t="s">
        <v>69</v>
      </c>
      <c r="D75" s="14" t="n">
        <v>2</v>
      </c>
      <c r="E75" s="15" t="n">
        <v>15000</v>
      </c>
      <c r="F75" s="15"/>
      <c r="G75" s="15"/>
      <c r="H75" s="16" t="n">
        <f aca="false">IF(COUNTIF(E75:G75,"&gt;0")=0,"",_xlfn.MINIFS(E75:G75,E75:G75,"&gt;0"))</f>
        <v>15000</v>
      </c>
      <c r="I75" s="17" t="n">
        <f aca="false">IF(OR(D75="",H75=""),"",D75*H75)</f>
        <v>30000</v>
      </c>
      <c r="J75" s="18" t="str">
        <f aca="false">IF(H75="","",INDEX($E$12:$G$12,MATCH(H75,E75:G75,0)))</f>
        <v>HOMECENTER</v>
      </c>
    </row>
    <row r="76" customFormat="false" ht="15" hidden="false" customHeight="false" outlineLevel="0" collapsed="false">
      <c r="A76" s="9"/>
      <c r="B76" s="10" t="s">
        <v>98</v>
      </c>
      <c r="C76" s="9"/>
      <c r="D76" s="9"/>
      <c r="E76" s="9"/>
      <c r="F76" s="9"/>
      <c r="G76" s="9"/>
      <c r="H76" s="9"/>
      <c r="I76" s="9"/>
      <c r="J76" s="9"/>
      <c r="K76" s="9"/>
    </row>
    <row r="77" customFormat="false" ht="15" hidden="false" customHeight="false" outlineLevel="0" collapsed="false">
      <c r="A77" s="11" t="n">
        <v>56</v>
      </c>
      <c r="B77" s="12" t="s">
        <v>99</v>
      </c>
      <c r="C77" s="13" t="s">
        <v>31</v>
      </c>
      <c r="D77" s="14" t="n">
        <v>2</v>
      </c>
      <c r="E77" s="15" t="n">
        <v>15700</v>
      </c>
      <c r="F77" s="15"/>
      <c r="G77" s="15"/>
      <c r="H77" s="16" t="n">
        <f aca="false">IF(COUNTIF(E77:G77,"&gt;0")=0,"",_xlfn.MINIFS(E77:G77,E77:G77,"&gt;0"))</f>
        <v>15700</v>
      </c>
      <c r="I77" s="17" t="n">
        <f aca="false">IF(OR(D77="",H77=""),"",D77*H77)</f>
        <v>31400</v>
      </c>
      <c r="J77" s="18" t="str">
        <f aca="false">IF(H77="","",INDEX($E$12:$G$12,MATCH(H77,E77:G77,0)))</f>
        <v>HOMECENTER</v>
      </c>
      <c r="K77" s="19" t="s">
        <v>27</v>
      </c>
    </row>
    <row r="78" customFormat="false" ht="15" hidden="false" customHeight="false" outlineLevel="0" collapsed="false">
      <c r="A78" s="11" t="n">
        <v>57</v>
      </c>
      <c r="B78" s="12" t="s">
        <v>100</v>
      </c>
      <c r="C78" s="13" t="s">
        <v>31</v>
      </c>
      <c r="D78" s="14" t="n">
        <v>2</v>
      </c>
      <c r="E78" s="15" t="n">
        <v>10900</v>
      </c>
      <c r="F78" s="15"/>
      <c r="G78" s="15"/>
      <c r="H78" s="16" t="n">
        <f aca="false">IF(COUNTIF(E78:G78,"&gt;0")=0,"",_xlfn.MINIFS(E78:G78,E78:G78,"&gt;0"))</f>
        <v>10900</v>
      </c>
      <c r="I78" s="17" t="n">
        <f aca="false">IF(OR(D78="",H78=""),"",D78*H78)</f>
        <v>21800</v>
      </c>
      <c r="J78" s="18" t="str">
        <f aca="false">IF(H78="","",INDEX($E$12:$G$12,MATCH(H78,E78:G78,0)))</f>
        <v>HOMECENTER</v>
      </c>
      <c r="K78" s="19" t="s">
        <v>27</v>
      </c>
    </row>
    <row r="79" customFormat="false" ht="15" hidden="false" customHeight="false" outlineLevel="0" collapsed="false">
      <c r="A79" s="11" t="n">
        <v>58</v>
      </c>
      <c r="B79" s="12" t="s">
        <v>101</v>
      </c>
      <c r="C79" s="13" t="s">
        <v>93</v>
      </c>
      <c r="D79" s="14" t="n">
        <v>4</v>
      </c>
      <c r="E79" s="15" t="n">
        <v>95900</v>
      </c>
      <c r="F79" s="15"/>
      <c r="G79" s="15"/>
      <c r="H79" s="16" t="n">
        <f aca="false">IF(COUNTIF(E79:G79,"&gt;0")=0,"",_xlfn.MINIFS(E79:G79,E79:G79,"&gt;0"))</f>
        <v>95900</v>
      </c>
      <c r="I79" s="17" t="n">
        <f aca="false">IF(OR(D79="",H79=""),"",D79*H79)</f>
        <v>383600</v>
      </c>
      <c r="J79" s="18" t="str">
        <f aca="false">IF(H79="","",INDEX($E$12:$G$12,MATCH(H79,E79:G79,0)))</f>
        <v>HOMECENTER</v>
      </c>
      <c r="K79" s="19" t="s">
        <v>27</v>
      </c>
    </row>
    <row r="80" customFormat="false" ht="15" hidden="false" customHeight="false" outlineLevel="0" collapsed="false">
      <c r="A80" s="11" t="n">
        <v>59</v>
      </c>
      <c r="B80" s="12" t="s">
        <v>102</v>
      </c>
      <c r="C80" s="13" t="s">
        <v>93</v>
      </c>
      <c r="D80" s="14" t="n">
        <v>1</v>
      </c>
      <c r="E80" s="15" t="n">
        <v>173900</v>
      </c>
      <c r="F80" s="15"/>
      <c r="G80" s="15"/>
      <c r="H80" s="16" t="n">
        <f aca="false">IF(COUNTIF(E80:G80,"&gt;0")=0,"",_xlfn.MINIFS(E80:G80,E80:G80,"&gt;0"))</f>
        <v>173900</v>
      </c>
      <c r="I80" s="17" t="n">
        <f aca="false">IF(OR(D80="",H80=""),"",D80*H80)</f>
        <v>173900</v>
      </c>
      <c r="J80" s="18" t="str">
        <f aca="false">IF(H80="","",INDEX($E$12:$G$12,MATCH(H80,E80:G80,0)))</f>
        <v>HOMECENTER</v>
      </c>
      <c r="K80" s="19" t="s">
        <v>27</v>
      </c>
    </row>
    <row r="81" customFormat="false" ht="15" hidden="false" customHeight="false" outlineLevel="0" collapsed="false">
      <c r="A81" s="11" t="n">
        <v>60</v>
      </c>
      <c r="B81" s="12" t="s">
        <v>103</v>
      </c>
      <c r="C81" s="13" t="s">
        <v>104</v>
      </c>
      <c r="D81" s="14" t="n">
        <v>22</v>
      </c>
      <c r="E81" s="15" t="n">
        <v>1990</v>
      </c>
      <c r="F81" s="15"/>
      <c r="G81" s="15"/>
      <c r="H81" s="16" t="n">
        <f aca="false">IF(COUNTIF(E81:G81,"&gt;0")=0,"",_xlfn.MINIFS(E81:G81,E81:G81,"&gt;0"))</f>
        <v>1990</v>
      </c>
      <c r="I81" s="17" t="n">
        <f aca="false">IF(OR(D81="",H81=""),"",D81*H81)</f>
        <v>43780</v>
      </c>
      <c r="J81" s="18" t="str">
        <f aca="false">IF(H81="","",INDEX($E$12:$G$12,MATCH(H81,E81:G81,0)))</f>
        <v>HOMECENTER</v>
      </c>
      <c r="K81" s="19" t="s">
        <v>27</v>
      </c>
    </row>
    <row r="82" customFormat="false" ht="15" hidden="false" customHeight="false" outlineLevel="0" collapsed="false">
      <c r="A82" s="11" t="n">
        <v>61</v>
      </c>
      <c r="B82" s="12" t="s">
        <v>105</v>
      </c>
      <c r="C82" s="13" t="s">
        <v>26</v>
      </c>
      <c r="D82" s="14" t="n">
        <v>4</v>
      </c>
      <c r="E82" s="15" t="n">
        <v>37400</v>
      </c>
      <c r="F82" s="15"/>
      <c r="G82" s="15"/>
      <c r="H82" s="16" t="n">
        <f aca="false">IF(COUNTIF(E82:G82,"&gt;0")=0,"",_xlfn.MINIFS(E82:G82,E82:G82,"&gt;0"))</f>
        <v>37400</v>
      </c>
      <c r="I82" s="17" t="n">
        <f aca="false">IF(OR(D82="",H82=""),"",D82*H82)</f>
        <v>149600</v>
      </c>
      <c r="J82" s="18" t="str">
        <f aca="false">IF(H82="","",INDEX($E$12:$G$12,MATCH(H82,E82:G82,0)))</f>
        <v>HOMECENTER</v>
      </c>
      <c r="K82" s="19" t="s">
        <v>27</v>
      </c>
    </row>
    <row r="83" customFormat="false" ht="15" hidden="false" customHeight="false" outlineLevel="0" collapsed="false">
      <c r="A83" s="11" t="n">
        <v>62</v>
      </c>
      <c r="B83" s="12" t="s">
        <v>106</v>
      </c>
      <c r="C83" s="13" t="s">
        <v>50</v>
      </c>
      <c r="D83" s="14" t="n">
        <v>3</v>
      </c>
      <c r="E83" s="15" t="n">
        <v>139900</v>
      </c>
      <c r="F83" s="15"/>
      <c r="G83" s="15"/>
      <c r="H83" s="16" t="n">
        <f aca="false">IF(COUNTIF(E83:G83,"&gt;0")=0,"",_xlfn.MINIFS(E83:G83,E83:G83,"&gt;0"))</f>
        <v>139900</v>
      </c>
      <c r="I83" s="17" t="n">
        <f aca="false">IF(OR(D83="",H83=""),"",D83*H83)</f>
        <v>419700</v>
      </c>
      <c r="J83" s="18" t="str">
        <f aca="false">IF(H83="","",INDEX($E$12:$G$12,MATCH(H83,E83:G83,0)))</f>
        <v>HOMECENTER</v>
      </c>
      <c r="K83" s="19" t="s">
        <v>27</v>
      </c>
    </row>
    <row r="84" customFormat="false" ht="15" hidden="false" customHeight="false" outlineLevel="0" collapsed="false">
      <c r="A84" s="11" t="n">
        <v>63</v>
      </c>
      <c r="B84" s="12" t="s">
        <v>107</v>
      </c>
      <c r="C84" s="13" t="s">
        <v>93</v>
      </c>
      <c r="D84" s="14" t="n">
        <v>2</v>
      </c>
      <c r="E84" s="15" t="n">
        <v>399900</v>
      </c>
      <c r="F84" s="15"/>
      <c r="G84" s="15"/>
      <c r="H84" s="16" t="n">
        <f aca="false">IF(COUNTIF(E84:G84,"&gt;0")=0,"",_xlfn.MINIFS(E84:G84,E84:G84,"&gt;0"))</f>
        <v>399900</v>
      </c>
      <c r="I84" s="17" t="n">
        <f aca="false">IF(OR(D84="",H84=""),"",D84*H84)</f>
        <v>799800</v>
      </c>
      <c r="J84" s="18" t="str">
        <f aca="false">IF(H84="","",INDEX($E$12:$G$12,MATCH(H84,E84:G84,0)))</f>
        <v>HOMECENTER</v>
      </c>
      <c r="K84" s="19" t="s">
        <v>27</v>
      </c>
    </row>
    <row r="85" customFormat="false" ht="15" hidden="false" customHeight="false" outlineLevel="0" collapsed="false">
      <c r="A85" s="11" t="n">
        <v>64</v>
      </c>
      <c r="B85" s="12" t="s">
        <v>108</v>
      </c>
      <c r="C85" s="13" t="s">
        <v>50</v>
      </c>
      <c r="D85" s="14" t="n">
        <v>6</v>
      </c>
      <c r="E85" s="15" t="n">
        <v>99900</v>
      </c>
      <c r="F85" s="15"/>
      <c r="G85" s="15"/>
      <c r="H85" s="16" t="n">
        <f aca="false">IF(COUNTIF(E85:G85,"&gt;0")=0,"",_xlfn.MINIFS(E85:G85,E85:G85,"&gt;0"))</f>
        <v>99900</v>
      </c>
      <c r="I85" s="17" t="n">
        <f aca="false">IF(OR(D85="",H85=""),"",D85*H85)</f>
        <v>599400</v>
      </c>
      <c r="J85" s="18" t="str">
        <f aca="false">IF(H85="","",INDEX($E$12:$G$12,MATCH(H85,E85:G85,0)))</f>
        <v>HOMECENTER</v>
      </c>
      <c r="K85" s="19" t="s">
        <v>27</v>
      </c>
    </row>
    <row r="86" customFormat="false" ht="15" hidden="false" customHeight="false" outlineLevel="0" collapsed="false">
      <c r="A86" s="11" t="n">
        <v>65</v>
      </c>
      <c r="B86" s="12" t="s">
        <v>109</v>
      </c>
      <c r="C86" s="13" t="s">
        <v>31</v>
      </c>
      <c r="D86" s="14" t="n">
        <v>2</v>
      </c>
      <c r="E86" s="15" t="n">
        <v>24900</v>
      </c>
      <c r="F86" s="15"/>
      <c r="G86" s="15"/>
      <c r="H86" s="16" t="n">
        <f aca="false">IF(COUNTIF(E86:G86,"&gt;0")=0,"",_xlfn.MINIFS(E86:G86,E86:G86,"&gt;0"))</f>
        <v>24900</v>
      </c>
      <c r="I86" s="17" t="n">
        <f aca="false">IF(OR(D86="",H86=""),"",D86*H86)</f>
        <v>49800</v>
      </c>
      <c r="J86" s="18" t="str">
        <f aca="false">IF(H86="","",INDEX($E$12:$G$12,MATCH(H86,E86:G86,0)))</f>
        <v>HOMECENTER</v>
      </c>
      <c r="K86" s="19" t="s">
        <v>27</v>
      </c>
    </row>
    <row r="87" customFormat="false" ht="15" hidden="false" customHeight="false" outlineLevel="0" collapsed="false">
      <c r="A87" s="11" t="n">
        <v>66</v>
      </c>
      <c r="B87" s="12" t="s">
        <v>110</v>
      </c>
      <c r="C87" s="13" t="s">
        <v>50</v>
      </c>
      <c r="D87" s="14" t="n">
        <v>3</v>
      </c>
      <c r="E87" s="15" t="n">
        <v>77900</v>
      </c>
      <c r="F87" s="15"/>
      <c r="G87" s="15"/>
      <c r="H87" s="16" t="n">
        <f aca="false">IF(COUNTIF(E87:G87,"&gt;0")=0,"",_xlfn.MINIFS(E87:G87,E87:G87,"&gt;0"))</f>
        <v>77900</v>
      </c>
      <c r="I87" s="17" t="n">
        <f aca="false">IF(OR(D87="",H87=""),"",D87*H87)</f>
        <v>233700</v>
      </c>
      <c r="J87" s="18" t="str">
        <f aca="false">IF(H87="","",INDEX($E$12:$G$12,MATCH(H87,E87:G87,0)))</f>
        <v>HOMECENTER</v>
      </c>
      <c r="K87" s="19" t="s">
        <v>27</v>
      </c>
    </row>
    <row r="88" customFormat="false" ht="22.35" hidden="false" customHeight="false" outlineLevel="0" collapsed="false">
      <c r="A88" s="11" t="n">
        <v>67</v>
      </c>
      <c r="B88" s="12" t="s">
        <v>111</v>
      </c>
      <c r="C88" s="13" t="s">
        <v>72</v>
      </c>
      <c r="D88" s="14" t="n">
        <v>16.5</v>
      </c>
      <c r="E88" s="15"/>
      <c r="F88" s="15"/>
      <c r="G88" s="15" t="n">
        <v>50000</v>
      </c>
      <c r="H88" s="16" t="n">
        <f aca="false">IF(COUNTIF(E88:G88,"&gt;0")=0,"",_xlfn.MINIFS(E88:G88,E88:G88,"&gt;0"))</f>
        <v>50000</v>
      </c>
      <c r="I88" s="17" t="n">
        <f aca="false">IF(OR(D88="",H88=""),"",D88*H88)</f>
        <v>825000</v>
      </c>
      <c r="J88" s="18" t="str">
        <f aca="false">IF(H88="","",INDEX($E$12:$G$12,MATCH(H88,E88:G88,0)))</f>
        <v>TALLER / METALMECÁNICA</v>
      </c>
    </row>
    <row r="89" customFormat="false" ht="15" hidden="false" customHeight="false" outlineLevel="0" collapsed="false">
      <c r="A89" s="9"/>
      <c r="B89" s="10" t="s">
        <v>112</v>
      </c>
      <c r="C89" s="9"/>
      <c r="D89" s="9"/>
      <c r="E89" s="9"/>
      <c r="F89" s="9"/>
      <c r="G89" s="9"/>
      <c r="H89" s="9"/>
      <c r="I89" s="9"/>
      <c r="J89" s="9"/>
      <c r="K89" s="9"/>
    </row>
    <row r="90" customFormat="false" ht="15" hidden="false" customHeight="false" outlineLevel="0" collapsed="false">
      <c r="A90" s="11" t="n">
        <v>68</v>
      </c>
      <c r="B90" s="12" t="s">
        <v>113</v>
      </c>
      <c r="C90" s="13" t="s">
        <v>67</v>
      </c>
      <c r="D90" s="14" t="n">
        <v>50</v>
      </c>
      <c r="E90" s="15" t="n">
        <v>2579</v>
      </c>
      <c r="F90" s="15"/>
      <c r="G90" s="15"/>
      <c r="H90" s="16" t="n">
        <f aca="false">IF(COUNTIF(E90:G90,"&gt;0")=0,"",_xlfn.MINIFS(E90:G90,E90:G90,"&gt;0"))</f>
        <v>2579</v>
      </c>
      <c r="I90" s="17" t="n">
        <f aca="false">IF(OR(D90="",H90=""),"",D90*H90)</f>
        <v>128950</v>
      </c>
      <c r="J90" s="18" t="str">
        <f aca="false">IF(H90="","",INDEX($E$12:$G$12,MATCH(H90,E90:G90,0)))</f>
        <v>HOMECENTER</v>
      </c>
      <c r="K90" s="19" t="s">
        <v>27</v>
      </c>
    </row>
    <row r="91" customFormat="false" ht="15" hidden="false" customHeight="false" outlineLevel="0" collapsed="false">
      <c r="A91" s="11" t="n">
        <v>69</v>
      </c>
      <c r="B91" s="12" t="s">
        <v>114</v>
      </c>
      <c r="C91" s="13" t="s">
        <v>31</v>
      </c>
      <c r="D91" s="14" t="n">
        <v>6</v>
      </c>
      <c r="E91" s="15" t="n">
        <v>1990</v>
      </c>
      <c r="F91" s="15"/>
      <c r="G91" s="15"/>
      <c r="H91" s="16" t="n">
        <f aca="false">IF(COUNTIF(E91:G91,"&gt;0")=0,"",_xlfn.MINIFS(E91:G91,E91:G91,"&gt;0"))</f>
        <v>1990</v>
      </c>
      <c r="I91" s="17" t="n">
        <f aca="false">IF(OR(D91="",H91=""),"",D91*H91)</f>
        <v>11940</v>
      </c>
      <c r="J91" s="18" t="str">
        <f aca="false">IF(H91="","",INDEX($E$12:$G$12,MATCH(H91,E91:G91,0)))</f>
        <v>HOMECENTER</v>
      </c>
      <c r="K91" s="19" t="s">
        <v>27</v>
      </c>
    </row>
    <row r="92" customFormat="false" ht="15" hidden="false" customHeight="false" outlineLevel="0" collapsed="false">
      <c r="A92" s="11" t="n">
        <v>70</v>
      </c>
      <c r="B92" s="12" t="s">
        <v>115</v>
      </c>
      <c r="C92" s="13" t="s">
        <v>31</v>
      </c>
      <c r="D92" s="14" t="n">
        <v>2</v>
      </c>
      <c r="E92" s="15" t="n">
        <v>6700</v>
      </c>
      <c r="F92" s="15"/>
      <c r="G92" s="15"/>
      <c r="H92" s="16" t="n">
        <f aca="false">IF(COUNTIF(E92:G92,"&gt;0")=0,"",_xlfn.MINIFS(E92:G92,E92:G92,"&gt;0"))</f>
        <v>6700</v>
      </c>
      <c r="I92" s="17" t="n">
        <f aca="false">IF(OR(D92="",H92=""),"",D92*H92)</f>
        <v>13400</v>
      </c>
      <c r="J92" s="18" t="str">
        <f aca="false">IF(H92="","",INDEX($E$12:$G$12,MATCH(H92,E92:G92,0)))</f>
        <v>HOMECENTER</v>
      </c>
      <c r="K92" s="19" t="s">
        <v>27</v>
      </c>
    </row>
    <row r="93" customFormat="false" ht="15" hidden="false" customHeight="false" outlineLevel="0" collapsed="false">
      <c r="A93" s="11" t="n">
        <v>71</v>
      </c>
      <c r="B93" s="12" t="s">
        <v>116</v>
      </c>
      <c r="C93" s="13" t="s">
        <v>31</v>
      </c>
      <c r="D93" s="14" t="n">
        <v>1</v>
      </c>
      <c r="E93" s="15" t="n">
        <v>32900</v>
      </c>
      <c r="F93" s="15"/>
      <c r="G93" s="15"/>
      <c r="H93" s="16" t="n">
        <f aca="false">IF(COUNTIF(E93:G93,"&gt;0")=0,"",_xlfn.MINIFS(E93:G93,E93:G93,"&gt;0"))</f>
        <v>32900</v>
      </c>
      <c r="I93" s="17" t="n">
        <f aca="false">IF(OR(D93="",H93=""),"",D93*H93)</f>
        <v>32900</v>
      </c>
      <c r="J93" s="18" t="str">
        <f aca="false">IF(H93="","",INDEX($E$12:$G$12,MATCH(H93,E93:G93,0)))</f>
        <v>HOMECENTER</v>
      </c>
      <c r="K93" s="19" t="s">
        <v>27</v>
      </c>
    </row>
    <row r="94" customFormat="false" ht="15" hidden="false" customHeight="false" outlineLevel="0" collapsed="false">
      <c r="A94" s="11" t="n">
        <v>72</v>
      </c>
      <c r="B94" s="12" t="s">
        <v>117</v>
      </c>
      <c r="C94" s="13" t="s">
        <v>31</v>
      </c>
      <c r="D94" s="14" t="n">
        <v>2</v>
      </c>
      <c r="E94" s="15" t="n">
        <v>15900</v>
      </c>
      <c r="F94" s="15"/>
      <c r="G94" s="15"/>
      <c r="H94" s="16" t="n">
        <f aca="false">IF(COUNTIF(E94:G94,"&gt;0")=0,"",_xlfn.MINIFS(E94:G94,E94:G94,"&gt;0"))</f>
        <v>15900</v>
      </c>
      <c r="I94" s="17" t="n">
        <f aca="false">IF(OR(D94="",H94=""),"",D94*H94)</f>
        <v>31800</v>
      </c>
      <c r="J94" s="18" t="str">
        <f aca="false">IF(H94="","",INDEX($E$12:$G$12,MATCH(H94,E94:G94,0)))</f>
        <v>HOMECENTER</v>
      </c>
      <c r="K94" s="19" t="s">
        <v>27</v>
      </c>
    </row>
    <row r="95" customFormat="false" ht="15" hidden="false" customHeight="false" outlineLevel="0" collapsed="false">
      <c r="A95" s="11" t="n">
        <v>73</v>
      </c>
      <c r="B95" s="12" t="s">
        <v>118</v>
      </c>
      <c r="C95" s="13" t="s">
        <v>31</v>
      </c>
      <c r="D95" s="14" t="n">
        <v>2</v>
      </c>
      <c r="E95" s="15" t="n">
        <v>26500</v>
      </c>
      <c r="F95" s="15"/>
      <c r="G95" s="15"/>
      <c r="H95" s="16" t="n">
        <f aca="false">IF(COUNTIF(E95:G95,"&gt;0")=0,"",_xlfn.MINIFS(E95:G95,E95:G95,"&gt;0"))</f>
        <v>26500</v>
      </c>
      <c r="I95" s="17" t="n">
        <f aca="false">IF(OR(D95="",H95=""),"",D95*H95)</f>
        <v>53000</v>
      </c>
      <c r="J95" s="18" t="str">
        <f aca="false">IF(H95="","",INDEX($E$12:$G$12,MATCH(H95,E95:G95,0)))</f>
        <v>HOMECENTER</v>
      </c>
      <c r="K95" s="19" t="s">
        <v>27</v>
      </c>
    </row>
    <row r="96" customFormat="false" ht="15" hidden="false" customHeight="false" outlineLevel="0" collapsed="false">
      <c r="A96" s="11" t="n">
        <v>74</v>
      </c>
      <c r="B96" s="12" t="s">
        <v>119</v>
      </c>
      <c r="C96" s="13" t="s">
        <v>31</v>
      </c>
      <c r="D96" s="14" t="n">
        <v>9</v>
      </c>
      <c r="E96" s="15" t="n">
        <v>3900</v>
      </c>
      <c r="F96" s="15"/>
      <c r="G96" s="15"/>
      <c r="H96" s="16" t="n">
        <f aca="false">IF(COUNTIF(E96:G96,"&gt;0")=0,"",_xlfn.MINIFS(E96:G96,E96:G96,"&gt;0"))</f>
        <v>3900</v>
      </c>
      <c r="I96" s="17" t="n">
        <f aca="false">IF(OR(D96="",H96=""),"",D96*H96)</f>
        <v>35100</v>
      </c>
      <c r="J96" s="18" t="str">
        <f aca="false">IF(H96="","",INDEX($E$12:$G$12,MATCH(H96,E96:G96,0)))</f>
        <v>HOMECENTER</v>
      </c>
      <c r="K96" s="19" t="s">
        <v>27</v>
      </c>
    </row>
    <row r="97" customFormat="false" ht="15" hidden="false" customHeight="false" outlineLevel="0" collapsed="false">
      <c r="A97" s="9"/>
      <c r="B97" s="10" t="s">
        <v>120</v>
      </c>
      <c r="C97" s="9"/>
      <c r="D97" s="9"/>
      <c r="E97" s="9"/>
      <c r="F97" s="9"/>
      <c r="G97" s="9"/>
      <c r="H97" s="9"/>
      <c r="I97" s="9"/>
      <c r="J97" s="9"/>
      <c r="K97" s="9"/>
    </row>
    <row r="98" customFormat="false" ht="15" hidden="false" customHeight="false" outlineLevel="0" collapsed="false">
      <c r="A98" s="11" t="n">
        <v>75</v>
      </c>
      <c r="B98" s="12" t="s">
        <v>121</v>
      </c>
      <c r="C98" s="13" t="s">
        <v>31</v>
      </c>
      <c r="D98" s="14" t="n">
        <v>60</v>
      </c>
      <c r="E98" s="15" t="n">
        <v>1200</v>
      </c>
      <c r="F98" s="15"/>
      <c r="G98" s="15"/>
      <c r="H98" s="16" t="n">
        <f aca="false">IF(COUNTIF(E98:G98,"&gt;0")=0,"",_xlfn.MINIFS(E98:G98,E98:G98,"&gt;0"))</f>
        <v>1200</v>
      </c>
      <c r="I98" s="17" t="n">
        <f aca="false">IF(OR(D98="",H98=""),"",D98*H98)</f>
        <v>72000</v>
      </c>
      <c r="J98" s="18" t="str">
        <f aca="false">IF(H98="","",INDEX($E$12:$G$12,MATCH(H98,E98:G98,0)))</f>
        <v>HOMECENTER</v>
      </c>
    </row>
    <row r="100" customFormat="false" ht="15" hidden="false" customHeight="false" outlineLevel="0" collapsed="false">
      <c r="B100" s="4" t="s">
        <v>122</v>
      </c>
      <c r="I100" s="20" t="n">
        <f aca="false">SUMIF($J$13:$J$98,"HOMECENTER",$I$13:$I$98)</f>
        <v>19507084</v>
      </c>
      <c r="J100" s="21" t="str">
        <f aca="false">COUNTIF($J$13:$J$98,"HOMECENTER")&amp;" materiales"</f>
        <v>62 materiales</v>
      </c>
    </row>
    <row r="101" customFormat="false" ht="15" hidden="false" customHeight="false" outlineLevel="0" collapsed="false">
      <c r="B101" s="4" t="s">
        <v>123</v>
      </c>
      <c r="I101" s="20" t="n">
        <f aca="false">SUMIF($J$13:$J$98,"FERRETERÍA BALBOA",$I$13:$I$98)</f>
        <v>1304000</v>
      </c>
      <c r="J101" s="21" t="str">
        <f aca="false">COUNTIF($J$13:$J$98,"FERRETERÍA BALBOA")&amp;" materiales"</f>
        <v>6 materiales</v>
      </c>
    </row>
    <row r="102" customFormat="false" ht="15" hidden="false" customHeight="false" outlineLevel="0" collapsed="false">
      <c r="B102" s="4" t="s">
        <v>124</v>
      </c>
      <c r="I102" s="20" t="n">
        <f aca="false">SUMIF($J$13:$J$98,"TALLER / METALMECÁNICA",$I$13:$I$98)</f>
        <v>5533000</v>
      </c>
      <c r="J102" s="21" t="str">
        <f aca="false">COUNTIF($J$13:$J$98,"TALLER / METALMECÁNICA")&amp;" materiales"</f>
        <v>7 materiales</v>
      </c>
    </row>
    <row r="103" customFormat="false" ht="21.75" hidden="false" customHeight="true" outlineLevel="0" collapsed="false">
      <c r="A103" s="22"/>
      <c r="B103" s="23" t="s">
        <v>125</v>
      </c>
      <c r="C103" s="24"/>
      <c r="D103" s="24"/>
      <c r="E103" s="24"/>
      <c r="F103" s="24"/>
      <c r="G103" s="24"/>
      <c r="H103" s="24"/>
      <c r="I103" s="25" t="n">
        <f aca="false">SUM(I13:I98)</f>
        <v>26344084</v>
      </c>
      <c r="J103" s="24"/>
      <c r="K103" s="24"/>
    </row>
  </sheetData>
  <hyperlinks>
    <hyperlink ref="K16" r:id="rId1" display="Ver producto"/>
    <hyperlink ref="K19" r:id="rId2" display="Ver producto"/>
    <hyperlink ref="K20" r:id="rId3" display="Ver producto"/>
    <hyperlink ref="K22" r:id="rId4" display="Ver producto"/>
    <hyperlink ref="K23" r:id="rId5" display="Ver producto"/>
    <hyperlink ref="K24" r:id="rId6" display="Ver producto"/>
    <hyperlink ref="K25" r:id="rId7" display="Ver producto"/>
    <hyperlink ref="K27" r:id="rId8" display="Ver producto"/>
    <hyperlink ref="K29" r:id="rId9" display="Ver producto"/>
    <hyperlink ref="K31" r:id="rId10" display="Ver producto"/>
    <hyperlink ref="K32" r:id="rId11" display="Ver producto"/>
    <hyperlink ref="K35" r:id="rId12" display="Ver producto"/>
    <hyperlink ref="K36" r:id="rId13" display="Ver producto"/>
    <hyperlink ref="K37" r:id="rId14" display="Ver producto"/>
    <hyperlink ref="K38" r:id="rId15" display="Ver producto"/>
    <hyperlink ref="K42" r:id="rId16" display="Ver producto"/>
    <hyperlink ref="K43" r:id="rId17" display="Ver producto"/>
    <hyperlink ref="K45" r:id="rId18" display="Ver producto"/>
    <hyperlink ref="K46" r:id="rId19" display="Ver producto"/>
    <hyperlink ref="K47" r:id="rId20" display="Ver producto"/>
    <hyperlink ref="K48" r:id="rId21" display="Ver producto"/>
    <hyperlink ref="K49" r:id="rId22" display="Ver producto"/>
    <hyperlink ref="K50" r:id="rId23" display="Ver producto"/>
    <hyperlink ref="K54" r:id="rId24" display="Ver producto"/>
    <hyperlink ref="K55" r:id="rId25" display="Ver producto"/>
    <hyperlink ref="K56" r:id="rId26" display="Ver producto"/>
    <hyperlink ref="K58" r:id="rId27" display="Ver producto"/>
    <hyperlink ref="K59" r:id="rId28" display="Ver producto"/>
    <hyperlink ref="K60" r:id="rId29" display="Ver producto"/>
    <hyperlink ref="K61" r:id="rId30" display="Ver producto"/>
    <hyperlink ref="K63" r:id="rId31" display="Ver producto"/>
    <hyperlink ref="K64" r:id="rId32" display="Ver producto"/>
    <hyperlink ref="K65" r:id="rId33" display="Ver producto"/>
    <hyperlink ref="K66" r:id="rId34" display="Ver producto"/>
    <hyperlink ref="K68" r:id="rId35" display="Ver producto"/>
    <hyperlink ref="K69" r:id="rId36" display="Ver producto"/>
    <hyperlink ref="K70" r:id="rId37" display="Ver producto"/>
    <hyperlink ref="K71" r:id="rId38" display="Ver producto"/>
    <hyperlink ref="K72" r:id="rId39" display="Ver producto"/>
    <hyperlink ref="K73" r:id="rId40" display="Ver producto"/>
    <hyperlink ref="K74" r:id="rId41" display="Ver producto"/>
    <hyperlink ref="K77" r:id="rId42" display="Ver producto"/>
    <hyperlink ref="K78" r:id="rId43" display="Ver producto"/>
    <hyperlink ref="K79" r:id="rId44" display="Ver producto"/>
    <hyperlink ref="K80" r:id="rId45" display="Ver producto"/>
    <hyperlink ref="K81" r:id="rId46" display="Ver producto"/>
    <hyperlink ref="K82" r:id="rId47" display="Ver producto"/>
    <hyperlink ref="K83" r:id="rId48" display="Ver producto"/>
    <hyperlink ref="K84" r:id="rId49" display="Ver producto"/>
    <hyperlink ref="K85" r:id="rId50" display="Ver producto"/>
    <hyperlink ref="K86" r:id="rId51" display="Ver producto"/>
    <hyperlink ref="K87" r:id="rId52" display="Ver producto"/>
    <hyperlink ref="K90" r:id="rId53" display="Ver producto"/>
    <hyperlink ref="K91" r:id="rId54" display="Ver producto"/>
    <hyperlink ref="K92" r:id="rId55" display="Ver producto"/>
    <hyperlink ref="K93" r:id="rId56" display="Ver producto"/>
    <hyperlink ref="K94" r:id="rId57" display="Ver producto"/>
    <hyperlink ref="K95" r:id="rId58" display="Ver producto"/>
    <hyperlink ref="K96" r:id="rId59" display="Ver producto"/>
  </hyperlink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&amp;LIntura Grupo Constructor S.A.S. · Lista de compra de materiales · Finca La Suiza&amp;RPágina &amp;P de &amp;N</oddFooter>
  </headerFooter>
  <drawing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2026-10-22T16:24:32Z</dcterms:created>
  <dc:creator>openpyxl</dc:creator>
  <dc:description/>
  <dc:language>en-US</dc:language>
  <cp:lastModifiedBy/>
  <dcterms:modified xsi:type="dcterms:W3CDTF">2026-10-22T16:24:32Z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